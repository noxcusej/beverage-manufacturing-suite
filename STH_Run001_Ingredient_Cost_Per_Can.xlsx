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howtime Elixir" sheetId="2" state="visible" r:id="rId2"/>
    <sheet name="Serenity" sheetId="3" state="visible" r:id="rId3"/>
    <sheet name="The Fountain" sheetId="4" state="visible" r:id="rId4"/>
    <sheet name="Defe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0.0000"/>
    <numFmt numFmtId="165" formatCode="0.0%"/>
    <numFmt numFmtId="166" formatCode="$0.00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55555"/>
      <sz val="9"/>
    </font>
    <font>
      <b val="1"/>
      <color rgb="00FFFFFF"/>
      <sz val="10"/>
    </font>
    <font>
      <color rgb="000563C1"/>
      <sz val="9"/>
      <u val="single"/>
    </font>
    <font>
      <color rgb="00B85C00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right"/>
    </xf>
    <xf numFmtId="0" fontId="4" fillId="0" borderId="1" applyAlignment="1" pivotButton="0" quotePrefix="0" xfId="0">
      <alignment vertical="top" wrapText="1"/>
    </xf>
    <xf numFmtId="0" fontId="6" fillId="3" borderId="1" pivotButton="0" quotePrefix="0" xfId="0"/>
    <xf numFmtId="0" fontId="0" fillId="3" borderId="1" pivotButton="0" quotePrefix="0" xfId="0"/>
    <xf numFmtId="164" fontId="6" fillId="3" borderId="1" pivotButton="0" quotePrefix="0" xfId="0"/>
    <xf numFmtId="0" fontId="6" fillId="0" borderId="0" pivotButton="0" quotePrefix="0" xfId="0"/>
    <xf numFmtId="166" fontId="6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exberry.com/en/natural-food-colors-formats/" TargetMode="External" Id="rId1" /><Relationship Type="http://schemas.openxmlformats.org/officeDocument/2006/relationships/hyperlink" Target="https://hempdepotwholesale.com/product/broad-spectrum-nano-encapsulated-water-soluble-cbd-powder/" TargetMode="External" Id="rId2" /><Relationship Type="http://schemas.openxmlformats.org/officeDocument/2006/relationships/hyperlink" Target="https://bobawarehouse.com/products/bossen-lychee-litchi-syrup" TargetMode="External" Id="rId3" /><Relationship Type="http://schemas.openxmlformats.org/officeDocument/2006/relationships/hyperlink" Target="https://www.knowde.com/stores/givaudan-naturex/products/naturex-talin-gl95-so000006" TargetMode="External" Id="rId4" /><Relationship Type="http://schemas.openxmlformats.org/officeDocument/2006/relationships/hyperlink" Target="https://www.bakersauthority.com/products/adm-cornsweet-crystalline-fructose-powder" TargetMode="External" Id="rId5" /></Relationships>
</file>

<file path=xl/worksheets/_rels/sheet3.xml.rels><Relationships xmlns="http://schemas.openxmlformats.org/package/2006/relationships"><Relationship Type="http://schemas.openxmlformats.org/officeDocument/2006/relationships/hyperlink" Target="https://mountainroseherbs.com/chamomile-hydrosol" TargetMode="External" Id="rId1" /><Relationship Type="http://schemas.openxmlformats.org/officeDocument/2006/relationships/hyperlink" Target="https://exberry.com/en/natural-food-colors-formats/" TargetMode="External" Id="rId2" /><Relationship Type="http://schemas.openxmlformats.org/officeDocument/2006/relationships/hyperlink" Target="https://hempdepotwholesale.com/product/broad-spectrum-nano-encapsulated-water-soluble-cbd-powder/" TargetMode="External" Id="rId3" /><Relationship Type="http://schemas.openxmlformats.org/officeDocument/2006/relationships/hyperlink" Target="https://www.knowde.com/stores/givaudan-naturex/products/naturex-talin-gl95-so000006" TargetMode="External" Id="rId4" /><Relationship Type="http://schemas.openxmlformats.org/officeDocument/2006/relationships/hyperlink" Target="https://www.bakersauthority.com/products/adm-cornsweet-crystalline-fructose-powder" TargetMode="External" Id="rId5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nutriavenue.com/ingredients/sodium-copper-chlorophyllin-2/" TargetMode="External" Id="rId1" /><Relationship Type="http://schemas.openxmlformats.org/officeDocument/2006/relationships/hyperlink" Target="https://hempdepotwholesale.com/product/broad-spectrum-nano-encapsulated-water-soluble-cbd-powder/" TargetMode="External" Id="rId2" /><Relationship Type="http://schemas.openxmlformats.org/officeDocument/2006/relationships/hyperlink" Target="https://www.knowde.com/stores/givaudan-naturex/products/naturex-talin-gl95-so000006" TargetMode="External" Id="rId3" /><Relationship Type="http://schemas.openxmlformats.org/officeDocument/2006/relationships/hyperlink" Target="https://www.bakersauthority.com/products/adm-cornsweet-crystalline-fructose-powder" TargetMode="External" Id="rId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herbco.com/p-1384-lemon-verbena-cs.asp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Southern Tier Hemp — Run 001  |  Ingredient cost per can</t>
        </is>
      </c>
    </row>
    <row r="2">
      <c r="A2" s="2" t="inlineStr">
        <is>
          <t>Generated 2026-05-26</t>
        </is>
      </c>
    </row>
    <row r="3">
      <c r="A3" s="3" t="inlineStr"/>
    </row>
    <row r="4">
      <c r="A4" s="4" t="inlineStr">
        <is>
          <t>What this is</t>
        </is>
      </c>
    </row>
    <row r="5">
      <c r="A5" s="3" t="inlineStr">
        <is>
          <t>One tab per formula (Showtime Elixir, Serenity, The Fountain, Defend). Each lists every ingredient with its native unit price,</t>
        </is>
      </c>
    </row>
    <row r="6">
      <c r="A6" s="3" t="inlineStr">
        <is>
          <t>a normalized cost/lb, MOQ, the cost contributed per can, and a source. Totals give ingredient cost per can and per case.</t>
        </is>
      </c>
    </row>
    <row r="7">
      <c r="A7" s="3" t="inlineStr"/>
    </row>
    <row r="8">
      <c r="A8" s="4" t="inlineStr">
        <is>
          <t>Why prices were rebuilt (important)</t>
        </is>
      </c>
    </row>
    <row r="9">
      <c r="A9" s="3" t="inlineStr">
        <is>
          <t>1) On the original Quoting tabs the Cost/Unit column is placeholder data: the same four values ($5.56/$2.91/$0.58/$2.91, MOQ</t>
        </is>
      </c>
    </row>
    <row r="10">
      <c r="A10" s="3" t="inlineStr">
        <is>
          <t xml:space="preserve">   275/51/2500/51) repeat identically down all four products regardless of ingredient (e.g. "Potassium Benzoate" carried</t>
        </is>
      </c>
    </row>
    <row r="11">
      <c r="A11" s="3" t="inlineStr">
        <is>
          <t xml:space="preserve">   GNS-95% pricing). Only Water ($0.10/gal) was a real number.</t>
        </is>
      </c>
    </row>
    <row r="12">
      <c r="A12" s="3" t="inlineStr">
        <is>
          <t>2) The Cases input was blank, so every per-can / MOQ formula returned #DIV/0! — the tabs could not output a cost.</t>
        </is>
      </c>
    </row>
    <row r="13">
      <c r="A13" s="3" t="inlineStr">
        <is>
          <t>Prices here were sourced first from your internal data (Katana avg cost; the "Complete Ingredients w Pricing" tab), then from</t>
        </is>
      </c>
    </row>
    <row r="14">
      <c r="A14" s="3" t="inlineStr">
        <is>
          <t>web research for the proprietary items those sheets do not price. Source of each price is in the Source column (links where external).</t>
        </is>
      </c>
    </row>
    <row r="15">
      <c r="A15" s="3" t="inlineStr"/>
    </row>
    <row r="16">
      <c r="A16" s="4" t="inlineStr">
        <is>
          <t>Method</t>
        </is>
      </c>
    </row>
    <row r="17">
      <c r="A17" s="3" t="inlineStr">
        <is>
          <t>Cost/can = (spec amount, lb) x per-can multiplier x cost/lb.  Per-can multiplier k = (can_L x 1.05 loss) / (spec-batch_L).</t>
        </is>
      </c>
    </row>
    <row r="18">
      <c r="A18" s="3" t="inlineStr">
        <is>
          <t>Cost/lb normalization: $/kg x 0.4536; $/gal / (8.345 x specific gravity); $/lb used as-is.</t>
        </is>
      </c>
    </row>
    <row r="19">
      <c r="A19" s="3" t="inlineStr">
        <is>
          <t>This is the linear (marginal) ingredient cost — what the liquid costs per can at scale. It does NOT load minimum-order</t>
        </is>
      </c>
    </row>
    <row r="20">
      <c r="A20" s="3" t="inlineStr">
        <is>
          <t>quantities; for a single small run, buying full MOQs (e.g. 275 lb preservative, 25 kg color) would raise the effective per-can cost.</t>
        </is>
      </c>
    </row>
    <row r="21">
      <c r="A21" s="3" t="inlineStr"/>
    </row>
    <row r="22">
      <c r="A22" s="4" t="inlineStr">
        <is>
          <t>Confidence</t>
        </is>
      </c>
    </row>
    <row r="23">
      <c r="A23" s="3" t="inlineStr">
        <is>
          <t>Orange cells = researched estimates with no firm internal/quoted price (CBD Hydrobond, Talin PG95, the natural colors,</t>
        </is>
      </c>
    </row>
    <row r="24">
      <c r="A24" s="3" t="inlineStr">
        <is>
          <t>chamomile hydrosol, lemon verbena). Natural flavors are set per client direction at $70/gal (SG 1.0 assumed). These are</t>
        </is>
      </c>
    </row>
    <row r="25">
      <c r="A25" s="3" t="inlineStr">
        <is>
          <t>purchase costs to finalize. Commodity/internal items (water, citric acid, sugar, GNS, juice, preservatives) are firm.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3" customWidth="1" min="3" max="3"/>
    <col width="11" customWidth="1" min="4" max="4"/>
    <col width="10" customWidth="1" min="5" max="5"/>
    <col width="12" customWidth="1" min="6" max="6"/>
    <col width="12" customWidth="1" min="7" max="7"/>
    <col width="52" customWidth="1" min="8" max="8"/>
  </cols>
  <sheetData>
    <row r="1">
      <c r="A1" s="5" t="inlineStr">
        <is>
          <t>Showtime Elixir — Ingredient Cost per Can</t>
        </is>
      </c>
    </row>
    <row r="2">
      <c r="A2" s="6" t="inlineStr">
        <is>
          <t>250 mL can | 24/case | 5% production-loss adj included | linear (marginal) ingredient cost, MOQ not loaded</t>
        </is>
      </c>
    </row>
    <row r="4">
      <c r="A4" s="7" t="inlineStr">
        <is>
          <t>Ingredient</t>
        </is>
      </c>
      <c r="B4" s="7" t="inlineStr">
        <is>
          <t>Amt/can (g)</t>
        </is>
      </c>
      <c r="C4" s="7" t="inlineStr">
        <is>
          <t>Unit Price</t>
        </is>
      </c>
      <c r="D4" s="7" t="inlineStr">
        <is>
          <t>Cost/lb ($)</t>
        </is>
      </c>
      <c r="E4" s="7" t="inlineStr">
        <is>
          <t>MOQ</t>
        </is>
      </c>
      <c r="F4" s="7" t="inlineStr">
        <is>
          <t>Cost/can ($)</t>
        </is>
      </c>
      <c r="G4" s="7" t="inlineStr">
        <is>
          <t>% of ing. cost</t>
        </is>
      </c>
      <c r="H4" s="7" t="inlineStr">
        <is>
          <t>Source</t>
        </is>
      </c>
    </row>
    <row r="5">
      <c r="A5" s="8" t="inlineStr">
        <is>
          <t>Water</t>
        </is>
      </c>
      <c r="B5" s="9" t="n">
        <v>257.278</v>
      </c>
      <c r="C5" s="9" t="inlineStr">
        <is>
          <t>$0.10 /gal</t>
        </is>
      </c>
      <c r="D5" s="9" t="n">
        <v>0.01</v>
      </c>
      <c r="E5" s="9" t="inlineStr">
        <is>
          <t>1 gal</t>
        </is>
      </c>
      <c r="F5" s="10" t="n">
        <v>0.0068</v>
      </c>
      <c r="G5" s="11">
        <f>F5/$F$19</f>
        <v/>
      </c>
      <c r="H5" s="12" t="inlineStr">
        <is>
          <t>Internal: spec sheet (Drayhorse)</t>
        </is>
      </c>
    </row>
    <row r="6">
      <c r="A6" s="8" t="inlineStr">
        <is>
          <t>Potassium Benzoate</t>
        </is>
      </c>
      <c r="B6" s="9" t="n">
        <v>0.079</v>
      </c>
      <c r="C6" s="9" t="inlineStr">
        <is>
          <t>$4.82 /kg</t>
        </is>
      </c>
      <c r="D6" s="9" t="n">
        <v>2.19</v>
      </c>
      <c r="E6" s="9" t="inlineStr">
        <is>
          <t>~55 lb</t>
        </is>
      </c>
      <c r="F6" s="10" t="n">
        <v>0.0004</v>
      </c>
      <c r="G6" s="11">
        <f>F6/$F$19</f>
        <v/>
      </c>
      <c r="H6" s="12" t="inlineStr">
        <is>
          <t>Internal: Katana avg cost</t>
        </is>
      </c>
    </row>
    <row r="7">
      <c r="A7" s="8" t="inlineStr">
        <is>
          <t>Potassium Sorbate</t>
        </is>
      </c>
      <c r="B7" s="9" t="n">
        <v>0.079</v>
      </c>
      <c r="C7" s="9" t="inlineStr">
        <is>
          <t>$2.86 /kg</t>
        </is>
      </c>
      <c r="D7" s="9" t="n">
        <v>1.3</v>
      </c>
      <c r="E7" s="9" t="inlineStr">
        <is>
          <t>55 lb</t>
        </is>
      </c>
      <c r="F7" s="10" t="n">
        <v>0.0002</v>
      </c>
      <c r="G7" s="11">
        <f>F7/$F$19</f>
        <v/>
      </c>
      <c r="H7" s="12" t="inlineStr">
        <is>
          <t>Internal: Katana avg cost</t>
        </is>
      </c>
    </row>
    <row r="8">
      <c r="A8" s="8" t="inlineStr">
        <is>
          <t>Grape Blue Shade 183922</t>
        </is>
      </c>
      <c r="B8" s="9" t="n">
        <v>0.132</v>
      </c>
      <c r="C8" s="13" t="inlineStr">
        <is>
          <t>$55.00 /kg</t>
        </is>
      </c>
      <c r="D8" s="13" t="n">
        <v>24.95</v>
      </c>
      <c r="E8" s="9" t="inlineStr">
        <is>
          <t>~25 kg</t>
        </is>
      </c>
      <c r="F8" s="10" t="n">
        <v>0.0073</v>
      </c>
      <c r="G8" s="11">
        <f>F8/$F$19</f>
        <v/>
      </c>
      <c r="H8" s="14" t="inlineStr">
        <is>
          <t>GNT EXBERRY (natural color, est.)</t>
        </is>
      </c>
    </row>
    <row r="9">
      <c r="A9" s="8" t="inlineStr">
        <is>
          <t>CBD Hydrobond 685449</t>
        </is>
      </c>
      <c r="B9" s="9" t="n">
        <v>0.052</v>
      </c>
      <c r="C9" s="13" t="inlineStr">
        <is>
          <t>$300.00 /kg</t>
        </is>
      </c>
      <c r="D9" s="13" t="n">
        <v>136.08</v>
      </c>
      <c r="E9" s="9" t="inlineStr">
        <is>
          <t>1 kg</t>
        </is>
      </c>
      <c r="F9" s="10" t="n">
        <v>0.0157</v>
      </c>
      <c r="G9" s="11">
        <f>F9/$F$19</f>
        <v/>
      </c>
      <c r="H9" s="14" t="inlineStr">
        <is>
          <t>Hemp Depot (water-soluble CBD powder)</t>
        </is>
      </c>
    </row>
    <row r="10">
      <c r="A10" s="8" t="inlineStr">
        <is>
          <t>Bossen Lychee Concentrated Syrup</t>
        </is>
      </c>
      <c r="B10" s="9" t="n">
        <v>1.313</v>
      </c>
      <c r="C10" s="9" t="inlineStr">
        <is>
          <t>$15.45 /lb</t>
        </is>
      </c>
      <c r="D10" s="9" t="n">
        <v>15.45</v>
      </c>
      <c r="E10" s="9" t="inlineStr">
        <is>
          <t>5.5 lb</t>
        </is>
      </c>
      <c r="F10" s="10" t="n">
        <v>0.0447</v>
      </c>
      <c r="G10" s="11">
        <f>F10/$F$19</f>
        <v/>
      </c>
      <c r="H10" s="14" t="inlineStr">
        <is>
          <t>Boba Warehouse / Amazon ($85 / 5.5 lb)</t>
        </is>
      </c>
    </row>
    <row r="11">
      <c r="A11" s="8" t="inlineStr">
        <is>
          <t>Talin PG95 T0001</t>
        </is>
      </c>
      <c r="B11" s="9" t="n">
        <v>0.368</v>
      </c>
      <c r="C11" s="13" t="inlineStr">
        <is>
          <t>$200.00 /kg</t>
        </is>
      </c>
      <c r="D11" s="13" t="n">
        <v>90.72</v>
      </c>
      <c r="E11" s="9" t="inlineStr">
        <is>
          <t>1 kg</t>
        </is>
      </c>
      <c r="F11" s="10" t="n">
        <v>0.0735</v>
      </c>
      <c r="G11" s="11">
        <f>F11/$F$19</f>
        <v/>
      </c>
      <c r="H11" s="14" t="inlineStr">
        <is>
          <t>Knowde (Naturex/Givaudan Talin) + bulk thaumatin</t>
        </is>
      </c>
    </row>
    <row r="12">
      <c r="A12" s="8" t="inlineStr">
        <is>
          <t>Crystalline Fructose</t>
        </is>
      </c>
      <c r="B12" s="9" t="n">
        <v>1.05</v>
      </c>
      <c r="C12" s="13" t="inlineStr">
        <is>
          <t>$1.20 /lb</t>
        </is>
      </c>
      <c r="D12" s="13" t="n">
        <v>1.2</v>
      </c>
      <c r="E12" s="9" t="inlineStr">
        <is>
          <t>50 lb</t>
        </is>
      </c>
      <c r="F12" s="10" t="n">
        <v>0.0028</v>
      </c>
      <c r="G12" s="11">
        <f>F12/$F$19</f>
        <v/>
      </c>
      <c r="H12" s="14" t="inlineStr">
        <is>
          <t>Bakers Authority (ADM Cornsweet)</t>
        </is>
      </c>
    </row>
    <row r="13">
      <c r="A13" s="8" t="inlineStr">
        <is>
          <t>Citric Acid</t>
        </is>
      </c>
      <c r="B13" s="9" t="n">
        <v>0.242</v>
      </c>
      <c r="C13" s="9" t="inlineStr">
        <is>
          <t>$1.52 /lb</t>
        </is>
      </c>
      <c r="D13" s="9" t="n">
        <v>1.52</v>
      </c>
      <c r="E13" s="9" t="inlineStr">
        <is>
          <t>50 lb</t>
        </is>
      </c>
      <c r="F13" s="10" t="n">
        <v>0.0008</v>
      </c>
      <c r="G13" s="11">
        <f>F13/$F$19</f>
        <v/>
      </c>
      <c r="H13" s="12" t="inlineStr">
        <is>
          <t>Internal: Complete Ingredients tab (Brenntag)</t>
        </is>
      </c>
    </row>
    <row r="14">
      <c r="A14" s="8" t="inlineStr">
        <is>
          <t>Ultra Masking Natural Flavor</t>
        </is>
      </c>
      <c r="B14" s="9" t="n">
        <v>0.399</v>
      </c>
      <c r="C14" s="9" t="inlineStr">
        <is>
          <t>$70.00 /gal</t>
        </is>
      </c>
      <c r="D14" s="9" t="n">
        <v>8.390000000000001</v>
      </c>
      <c r="E14" s="9" t="inlineStr">
        <is>
          <t>1 gal</t>
        </is>
      </c>
      <c r="F14" s="10" t="n">
        <v>0.0074</v>
      </c>
      <c r="G14" s="11">
        <f>F14/$F$19</f>
        <v/>
      </c>
      <c r="H14" s="12" t="inlineStr">
        <is>
          <t>Client-directed: $70/gal (SG 1.0 assumed)</t>
        </is>
      </c>
    </row>
    <row r="15">
      <c r="A15" s="8" t="inlineStr">
        <is>
          <t>Natural Lychee Flavor</t>
        </is>
      </c>
      <c r="B15" s="9" t="n">
        <v>0.578</v>
      </c>
      <c r="C15" s="9" t="inlineStr">
        <is>
          <t>$70.00 /gal</t>
        </is>
      </c>
      <c r="D15" s="9" t="n">
        <v>8.390000000000001</v>
      </c>
      <c r="E15" s="9" t="inlineStr">
        <is>
          <t>1 gal</t>
        </is>
      </c>
      <c r="F15" s="10" t="n">
        <v>0.0107</v>
      </c>
      <c r="G15" s="11">
        <f>F15/$F$19</f>
        <v/>
      </c>
      <c r="H15" s="12" t="inlineStr">
        <is>
          <t>Client-directed: $70/gal (SG 1.0 assumed)</t>
        </is>
      </c>
    </row>
    <row r="16">
      <c r="A16" s="8" t="inlineStr">
        <is>
          <t>Organic Lemon (flavor)</t>
        </is>
      </c>
      <c r="B16" s="9" t="n">
        <v>0.158</v>
      </c>
      <c r="C16" s="9" t="inlineStr">
        <is>
          <t>$70.00 /gal</t>
        </is>
      </c>
      <c r="D16" s="9" t="n">
        <v>8.390000000000001</v>
      </c>
      <c r="E16" s="9" t="inlineStr">
        <is>
          <t>1 gal</t>
        </is>
      </c>
      <c r="F16" s="10" t="n">
        <v>0.0029</v>
      </c>
      <c r="G16" s="11">
        <f>F16/$F$19</f>
        <v/>
      </c>
      <c r="H16" s="12" t="inlineStr">
        <is>
          <t>Client-directed: $70/gal (SG 1.0 assumed)</t>
        </is>
      </c>
    </row>
    <row r="17">
      <c r="A17" s="8" t="inlineStr">
        <is>
          <t>Pink Grapefruit (flavor)</t>
        </is>
      </c>
      <c r="B17" s="9" t="n">
        <v>0.504</v>
      </c>
      <c r="C17" s="9" t="inlineStr">
        <is>
          <t>$70.00 /gal</t>
        </is>
      </c>
      <c r="D17" s="9" t="n">
        <v>8.390000000000001</v>
      </c>
      <c r="E17" s="9" t="inlineStr">
        <is>
          <t>1 gal</t>
        </is>
      </c>
      <c r="F17" s="10" t="n">
        <v>0.009299999999999999</v>
      </c>
      <c r="G17" s="11">
        <f>F17/$F$19</f>
        <v/>
      </c>
      <c r="H17" s="12" t="inlineStr">
        <is>
          <t>Client-directed: $70/gal (SG 1.0 assumed)</t>
        </is>
      </c>
    </row>
    <row r="18">
      <c r="A18" s="8" t="inlineStr">
        <is>
          <t>Signature Beverage Enhancer</t>
        </is>
      </c>
      <c r="B18" s="9" t="n">
        <v>0.08400000000000001</v>
      </c>
      <c r="C18" s="13" t="inlineStr">
        <is>
          <t>$34.00 /lb</t>
        </is>
      </c>
      <c r="D18" s="13" t="n">
        <v>34</v>
      </c>
      <c r="E18" s="9" t="inlineStr">
        <is>
          <t>1 lb</t>
        </is>
      </c>
      <c r="F18" s="10" t="n">
        <v>0.0063</v>
      </c>
      <c r="G18" s="11">
        <f>F18/$F$19</f>
        <v/>
      </c>
      <c r="H18" s="12" t="inlineStr">
        <is>
          <t>Internal: Complete Ingredients tab (Signature Flavors analog)</t>
        </is>
      </c>
    </row>
    <row r="19">
      <c r="A19" s="15" t="inlineStr">
        <is>
          <t>TOTAL ingredient cost / can</t>
        </is>
      </c>
      <c r="B19" s="16" t="n"/>
      <c r="C19" s="16" t="n"/>
      <c r="D19" s="16" t="n"/>
      <c r="E19" s="16" t="n"/>
      <c r="F19" s="17">
        <f>SUM(F5:F18)</f>
        <v/>
      </c>
      <c r="G19" s="16" t="n"/>
      <c r="H19" s="16" t="n"/>
    </row>
    <row r="20">
      <c r="A20" s="18" t="inlineStr">
        <is>
          <t>Cost / 24-can case</t>
        </is>
      </c>
      <c r="F20" s="19">
        <f>F19*24</f>
        <v/>
      </c>
    </row>
    <row r="22">
      <c r="A22" s="20" t="inlineStr">
        <is>
          <t>Orange = researched estimate (no firm internal/quoted price). Tighten with actual PO/invoice cost.</t>
        </is>
      </c>
    </row>
  </sheetData>
  <hyperlinks>
    <hyperlink xmlns:r="http://schemas.openxmlformats.org/officeDocument/2006/relationships" ref="H8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3" customWidth="1" min="3" max="3"/>
    <col width="11" customWidth="1" min="4" max="4"/>
    <col width="10" customWidth="1" min="5" max="5"/>
    <col width="12" customWidth="1" min="6" max="6"/>
    <col width="12" customWidth="1" min="7" max="7"/>
    <col width="52" customWidth="1" min="8" max="8"/>
  </cols>
  <sheetData>
    <row r="1">
      <c r="A1" s="5" t="inlineStr">
        <is>
          <t>Serenity — Ingredient Cost per Can</t>
        </is>
      </c>
    </row>
    <row r="2">
      <c r="A2" s="6" t="inlineStr">
        <is>
          <t>250 mL can | 24/case | 5% production-loss adj included | linear (marginal) ingredient cost, MOQ not loaded</t>
        </is>
      </c>
    </row>
    <row r="4">
      <c r="A4" s="7" t="inlineStr">
        <is>
          <t>Ingredient</t>
        </is>
      </c>
      <c r="B4" s="7" t="inlineStr">
        <is>
          <t>Amt/can (g)</t>
        </is>
      </c>
      <c r="C4" s="7" t="inlineStr">
        <is>
          <t>Unit Price</t>
        </is>
      </c>
      <c r="D4" s="7" t="inlineStr">
        <is>
          <t>Cost/lb ($)</t>
        </is>
      </c>
      <c r="E4" s="7" t="inlineStr">
        <is>
          <t>MOQ</t>
        </is>
      </c>
      <c r="F4" s="7" t="inlineStr">
        <is>
          <t>Cost/can ($)</t>
        </is>
      </c>
      <c r="G4" s="7" t="inlineStr">
        <is>
          <t>% of ing. cost</t>
        </is>
      </c>
      <c r="H4" s="7" t="inlineStr">
        <is>
          <t>Source</t>
        </is>
      </c>
    </row>
    <row r="5">
      <c r="A5" s="8" t="inlineStr">
        <is>
          <t>Water</t>
        </is>
      </c>
      <c r="B5" s="9" t="n">
        <v>238.586</v>
      </c>
      <c r="C5" s="9" t="inlineStr">
        <is>
          <t>$0.10 /gal</t>
        </is>
      </c>
      <c r="D5" s="9" t="n">
        <v>0.01</v>
      </c>
      <c r="E5" s="9" t="inlineStr">
        <is>
          <t>1 gal</t>
        </is>
      </c>
      <c r="F5" s="10" t="n">
        <v>0.0063</v>
      </c>
      <c r="G5" s="11">
        <f>F5/$F$19</f>
        <v/>
      </c>
      <c r="H5" s="12" t="inlineStr">
        <is>
          <t>Internal: spec sheet (Drayhorse)</t>
        </is>
      </c>
    </row>
    <row r="6">
      <c r="A6" s="8" t="inlineStr">
        <is>
          <t>Chamomile Hydrosol</t>
        </is>
      </c>
      <c r="B6" s="9" t="n">
        <v>17.642</v>
      </c>
      <c r="C6" s="13" t="inlineStr">
        <is>
          <t>$50.00 /gal</t>
        </is>
      </c>
      <c r="D6" s="13" t="n">
        <v>5.99</v>
      </c>
      <c r="E6" s="9" t="inlineStr">
        <is>
          <t>1 gal</t>
        </is>
      </c>
      <c r="F6" s="10" t="n">
        <v>0.233</v>
      </c>
      <c r="G6" s="11">
        <f>F6/$F$19</f>
        <v/>
      </c>
      <c r="H6" s="14" t="inlineStr">
        <is>
          <t>Mountain Rose Herbs (est.)</t>
        </is>
      </c>
    </row>
    <row r="7">
      <c r="A7" s="8" t="inlineStr">
        <is>
          <t>Potassium Benzoate</t>
        </is>
      </c>
      <c r="B7" s="9" t="n">
        <v>0.079</v>
      </c>
      <c r="C7" s="9" t="inlineStr">
        <is>
          <t>$4.82 /kg</t>
        </is>
      </c>
      <c r="D7" s="9" t="n">
        <v>2.19</v>
      </c>
      <c r="E7" s="9" t="inlineStr">
        <is>
          <t>~55 lb</t>
        </is>
      </c>
      <c r="F7" s="10" t="n">
        <v>0.0004</v>
      </c>
      <c r="G7" s="11">
        <f>F7/$F$19</f>
        <v/>
      </c>
      <c r="H7" s="12" t="inlineStr">
        <is>
          <t>Internal: Katana avg cost</t>
        </is>
      </c>
    </row>
    <row r="8">
      <c r="A8" s="8" t="inlineStr">
        <is>
          <t>Potassium Sorbate</t>
        </is>
      </c>
      <c r="B8" s="9" t="n">
        <v>0.079</v>
      </c>
      <c r="C8" s="9" t="inlineStr">
        <is>
          <t>$2.86 /kg</t>
        </is>
      </c>
      <c r="D8" s="9" t="n">
        <v>1.3</v>
      </c>
      <c r="E8" s="9" t="inlineStr">
        <is>
          <t>55 lb</t>
        </is>
      </c>
      <c r="F8" s="10" t="n">
        <v>0.0002</v>
      </c>
      <c r="G8" s="11">
        <f>F8/$F$19</f>
        <v/>
      </c>
      <c r="H8" s="12" t="inlineStr">
        <is>
          <t>Internal: Katana avg cost</t>
        </is>
      </c>
    </row>
    <row r="9">
      <c r="A9" s="8" t="inlineStr">
        <is>
          <t>Grape Blue Shade</t>
        </is>
      </c>
      <c r="B9" s="9" t="n">
        <v>0.237</v>
      </c>
      <c r="C9" s="13" t="inlineStr">
        <is>
          <t>$55.00 /kg</t>
        </is>
      </c>
      <c r="D9" s="13" t="n">
        <v>24.95</v>
      </c>
      <c r="E9" s="9" t="inlineStr">
        <is>
          <t>~25 kg</t>
        </is>
      </c>
      <c r="F9" s="10" t="n">
        <v>0.0131</v>
      </c>
      <c r="G9" s="11">
        <f>F9/$F$19</f>
        <v/>
      </c>
      <c r="H9" s="14" t="inlineStr">
        <is>
          <t>GNT EXBERRY (natural color, est.)</t>
        </is>
      </c>
    </row>
    <row r="10">
      <c r="A10" s="8" t="inlineStr">
        <is>
          <t>CBD Hydrobond</t>
        </is>
      </c>
      <c r="B10" s="9" t="n">
        <v>0.053</v>
      </c>
      <c r="C10" s="13" t="inlineStr">
        <is>
          <t>$300.00 /kg</t>
        </is>
      </c>
      <c r="D10" s="13" t="n">
        <v>136.08</v>
      </c>
      <c r="E10" s="9" t="inlineStr">
        <is>
          <t>1 kg</t>
        </is>
      </c>
      <c r="F10" s="10" t="n">
        <v>0.0158</v>
      </c>
      <c r="G10" s="11">
        <f>F10/$F$19</f>
        <v/>
      </c>
      <c r="H10" s="14" t="inlineStr">
        <is>
          <t>Hemp Depot (water-soluble CBD powder)</t>
        </is>
      </c>
    </row>
    <row r="11">
      <c r="A11" s="8" t="inlineStr">
        <is>
          <t>Talin PG95</t>
        </is>
      </c>
      <c r="B11" s="9" t="n">
        <v>0.473</v>
      </c>
      <c r="C11" s="13" t="inlineStr">
        <is>
          <t>$200.00 /kg</t>
        </is>
      </c>
      <c r="D11" s="13" t="n">
        <v>90.72</v>
      </c>
      <c r="E11" s="9" t="inlineStr">
        <is>
          <t>1 kg</t>
        </is>
      </c>
      <c r="F11" s="10" t="n">
        <v>0.0945</v>
      </c>
      <c r="G11" s="11">
        <f>F11/$F$19</f>
        <v/>
      </c>
      <c r="H11" s="14" t="inlineStr">
        <is>
          <t>Knowde (Naturex/Givaudan Talin) + bulk thaumatin</t>
        </is>
      </c>
    </row>
    <row r="12">
      <c r="A12" s="8" t="inlineStr">
        <is>
          <t>Crystalline Fructose</t>
        </is>
      </c>
      <c r="B12" s="9" t="n">
        <v>1.05</v>
      </c>
      <c r="C12" s="13" t="inlineStr">
        <is>
          <t>$1.20 /lb</t>
        </is>
      </c>
      <c r="D12" s="13" t="n">
        <v>1.2</v>
      </c>
      <c r="E12" s="9" t="inlineStr">
        <is>
          <t>50 lb</t>
        </is>
      </c>
      <c r="F12" s="10" t="n">
        <v>0.0028</v>
      </c>
      <c r="G12" s="11">
        <f>F12/$F$19</f>
        <v/>
      </c>
      <c r="H12" s="14" t="inlineStr">
        <is>
          <t>Bakers Authority (ADM Cornsweet)</t>
        </is>
      </c>
    </row>
    <row r="13">
      <c r="A13" s="8" t="inlineStr">
        <is>
          <t>Citric Acid</t>
        </is>
      </c>
      <c r="B13" s="9" t="n">
        <v>0.347</v>
      </c>
      <c r="C13" s="9" t="inlineStr">
        <is>
          <t>$1.52 /lb</t>
        </is>
      </c>
      <c r="D13" s="9" t="n">
        <v>1.52</v>
      </c>
      <c r="E13" s="9" t="inlineStr">
        <is>
          <t>50 lb</t>
        </is>
      </c>
      <c r="F13" s="10" t="n">
        <v>0.0012</v>
      </c>
      <c r="G13" s="11">
        <f>F13/$F$19</f>
        <v/>
      </c>
      <c r="H13" s="12" t="inlineStr">
        <is>
          <t>Internal: Complete Ingredients tab (Brenntag)</t>
        </is>
      </c>
    </row>
    <row r="14">
      <c r="A14" s="8" t="inlineStr">
        <is>
          <t>Ultra Masking Natural Flavor</t>
        </is>
      </c>
      <c r="B14" s="9" t="n">
        <v>0.399</v>
      </c>
      <c r="C14" s="9" t="inlineStr">
        <is>
          <t>$70.00 /gal</t>
        </is>
      </c>
      <c r="D14" s="9" t="n">
        <v>8.390000000000001</v>
      </c>
      <c r="E14" s="9" t="inlineStr">
        <is>
          <t>1 gal</t>
        </is>
      </c>
      <c r="F14" s="10" t="n">
        <v>0.0074</v>
      </c>
      <c r="G14" s="11">
        <f>F14/$F$19</f>
        <v/>
      </c>
      <c r="H14" s="12" t="inlineStr">
        <is>
          <t>Client-directed: $70/gal (SG 1.0 assumed)</t>
        </is>
      </c>
    </row>
    <row r="15">
      <c r="A15" s="8" t="inlineStr">
        <is>
          <t>Organic Lemon (flavor)</t>
        </is>
      </c>
      <c r="B15" s="9" t="n">
        <v>0.242</v>
      </c>
      <c r="C15" s="9" t="inlineStr">
        <is>
          <t>$70.00 /gal</t>
        </is>
      </c>
      <c r="D15" s="9" t="n">
        <v>8.390000000000001</v>
      </c>
      <c r="E15" s="9" t="inlineStr">
        <is>
          <t>1 gal</t>
        </is>
      </c>
      <c r="F15" s="10" t="n">
        <v>0.0045</v>
      </c>
      <c r="G15" s="11">
        <f>F15/$F$19</f>
        <v/>
      </c>
      <c r="H15" s="12" t="inlineStr">
        <is>
          <t>Client-directed: $70/gal (SG 1.0 assumed)</t>
        </is>
      </c>
    </row>
    <row r="16">
      <c r="A16" s="8" t="inlineStr">
        <is>
          <t>Natural Raspberry Flavor</t>
        </is>
      </c>
      <c r="B16" s="9" t="n">
        <v>0.714</v>
      </c>
      <c r="C16" s="9" t="inlineStr">
        <is>
          <t>$70.00 /gal</t>
        </is>
      </c>
      <c r="D16" s="9" t="n">
        <v>8.390000000000001</v>
      </c>
      <c r="E16" s="9" t="inlineStr">
        <is>
          <t>1 gal</t>
        </is>
      </c>
      <c r="F16" s="10" t="n">
        <v>0.0132</v>
      </c>
      <c r="G16" s="11">
        <f>F16/$F$19</f>
        <v/>
      </c>
      <c r="H16" s="12" t="inlineStr">
        <is>
          <t>Client-directed: $70/gal (SG 1.0 assumed)</t>
        </is>
      </c>
    </row>
    <row r="17">
      <c r="A17" s="8" t="inlineStr">
        <is>
          <t>Organic Cranberry Flavor</t>
        </is>
      </c>
      <c r="B17" s="9" t="n">
        <v>0.368</v>
      </c>
      <c r="C17" s="9" t="inlineStr">
        <is>
          <t>$70.00 /gal</t>
        </is>
      </c>
      <c r="D17" s="9" t="n">
        <v>8.390000000000001</v>
      </c>
      <c r="E17" s="9" t="inlineStr">
        <is>
          <t>1 gal</t>
        </is>
      </c>
      <c r="F17" s="10" t="n">
        <v>0.0068</v>
      </c>
      <c r="G17" s="11">
        <f>F17/$F$19</f>
        <v/>
      </c>
      <c r="H17" s="12" t="inlineStr">
        <is>
          <t>Client-directed: $70/gal (SG 1.0 assumed)</t>
        </is>
      </c>
    </row>
    <row r="18">
      <c r="A18" s="8" t="inlineStr">
        <is>
          <t>Signature Beverage Enhancer</t>
        </is>
      </c>
      <c r="B18" s="9" t="n">
        <v>0.714</v>
      </c>
      <c r="C18" s="13" t="inlineStr">
        <is>
          <t>$34.00 /lb</t>
        </is>
      </c>
      <c r="D18" s="13" t="n">
        <v>34</v>
      </c>
      <c r="E18" s="9" t="inlineStr">
        <is>
          <t>1 lb</t>
        </is>
      </c>
      <c r="F18" s="10" t="n">
        <v>0.0535</v>
      </c>
      <c r="G18" s="11">
        <f>F18/$F$19</f>
        <v/>
      </c>
      <c r="H18" s="12" t="inlineStr">
        <is>
          <t>Internal: Complete Ingredients tab (Signature Flavors analog)</t>
        </is>
      </c>
    </row>
    <row r="19">
      <c r="A19" s="15" t="inlineStr">
        <is>
          <t>TOTAL ingredient cost / can</t>
        </is>
      </c>
      <c r="B19" s="16" t="n"/>
      <c r="C19" s="16" t="n"/>
      <c r="D19" s="16" t="n"/>
      <c r="E19" s="16" t="n"/>
      <c r="F19" s="17">
        <f>SUM(F5:F18)</f>
        <v/>
      </c>
      <c r="G19" s="16" t="n"/>
      <c r="H19" s="16" t="n"/>
    </row>
    <row r="20">
      <c r="A20" s="18" t="inlineStr">
        <is>
          <t>Cost / 24-can case</t>
        </is>
      </c>
      <c r="F20" s="19">
        <f>F19*24</f>
        <v/>
      </c>
    </row>
    <row r="22">
      <c r="A22" s="20" t="inlineStr">
        <is>
          <t>Orange = researched estimate (no firm internal/quoted price). Tighten with actual PO/invoice cost.</t>
        </is>
      </c>
    </row>
  </sheetData>
  <hyperlinks>
    <hyperlink xmlns:r="http://schemas.openxmlformats.org/officeDocument/2006/relationships" ref="H6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3" customWidth="1" min="3" max="3"/>
    <col width="11" customWidth="1" min="4" max="4"/>
    <col width="10" customWidth="1" min="5" max="5"/>
    <col width="12" customWidth="1" min="6" max="6"/>
    <col width="12" customWidth="1" min="7" max="7"/>
    <col width="52" customWidth="1" min="8" max="8"/>
  </cols>
  <sheetData>
    <row r="1">
      <c r="A1" s="5" t="inlineStr">
        <is>
          <t>The Fountain — Ingredient Cost per Can</t>
        </is>
      </c>
    </row>
    <row r="2">
      <c r="A2" s="6" t="inlineStr">
        <is>
          <t>355 mL can | 24/case | 5% production-loss adj included | linear (marginal) ingredient cost, MOQ not loaded</t>
        </is>
      </c>
    </row>
    <row r="4">
      <c r="A4" s="7" t="inlineStr">
        <is>
          <t>Ingredient</t>
        </is>
      </c>
      <c r="B4" s="7" t="inlineStr">
        <is>
          <t>Amt/can (g)</t>
        </is>
      </c>
      <c r="C4" s="7" t="inlineStr">
        <is>
          <t>Unit Price</t>
        </is>
      </c>
      <c r="D4" s="7" t="inlineStr">
        <is>
          <t>Cost/lb ($)</t>
        </is>
      </c>
      <c r="E4" s="7" t="inlineStr">
        <is>
          <t>MOQ</t>
        </is>
      </c>
      <c r="F4" s="7" t="inlineStr">
        <is>
          <t>Cost/can ($)</t>
        </is>
      </c>
      <c r="G4" s="7" t="inlineStr">
        <is>
          <t>% of ing. cost</t>
        </is>
      </c>
      <c r="H4" s="7" t="inlineStr">
        <is>
          <t>Source</t>
        </is>
      </c>
    </row>
    <row r="5">
      <c r="A5" s="8" t="inlineStr">
        <is>
          <t>Water</t>
        </is>
      </c>
      <c r="B5" s="9" t="n">
        <v>360.861</v>
      </c>
      <c r="C5" s="9" t="inlineStr">
        <is>
          <t>$0.10 /gal</t>
        </is>
      </c>
      <c r="D5" s="9" t="n">
        <v>0.01</v>
      </c>
      <c r="E5" s="9" t="inlineStr">
        <is>
          <t>1 gal</t>
        </is>
      </c>
      <c r="F5" s="10" t="n">
        <v>0.0095</v>
      </c>
      <c r="G5" s="11">
        <f>F5/$F$19</f>
        <v/>
      </c>
      <c r="H5" s="12" t="inlineStr">
        <is>
          <t>Internal: spec sheet (Drayhorse)</t>
        </is>
      </c>
    </row>
    <row r="6">
      <c r="A6" s="8" t="inlineStr">
        <is>
          <t>Potassium Benzoate</t>
        </is>
      </c>
      <c r="B6" s="9" t="n">
        <v>0.112</v>
      </c>
      <c r="C6" s="9" t="inlineStr">
        <is>
          <t>$4.82 /kg</t>
        </is>
      </c>
      <c r="D6" s="9" t="n">
        <v>2.19</v>
      </c>
      <c r="E6" s="9" t="inlineStr">
        <is>
          <t>~55 lb</t>
        </is>
      </c>
      <c r="F6" s="10" t="n">
        <v>0.0005</v>
      </c>
      <c r="G6" s="11">
        <f>F6/$F$19</f>
        <v/>
      </c>
      <c r="H6" s="12" t="inlineStr">
        <is>
          <t>Internal: Katana avg cost</t>
        </is>
      </c>
    </row>
    <row r="7">
      <c r="A7" s="8" t="inlineStr">
        <is>
          <t>Potassium Sorbate</t>
        </is>
      </c>
      <c r="B7" s="9" t="n">
        <v>0.112</v>
      </c>
      <c r="C7" s="9" t="inlineStr">
        <is>
          <t>$2.86 /kg</t>
        </is>
      </c>
      <c r="D7" s="9" t="n">
        <v>1.3</v>
      </c>
      <c r="E7" s="9" t="inlineStr">
        <is>
          <t>55 lb</t>
        </is>
      </c>
      <c r="F7" s="10" t="n">
        <v>0.0003</v>
      </c>
      <c r="G7" s="11">
        <f>F7/$F$19</f>
        <v/>
      </c>
      <c r="H7" s="12" t="inlineStr">
        <is>
          <t>Internal: Katana avg cost</t>
        </is>
      </c>
    </row>
    <row r="8">
      <c r="A8" s="8" t="inlineStr">
        <is>
          <t>Sodium Copper Chlorophyllin CVA</t>
        </is>
      </c>
      <c r="B8" s="9" t="n">
        <v>0.188</v>
      </c>
      <c r="C8" s="13" t="inlineStr">
        <is>
          <t>$60.00 /kg</t>
        </is>
      </c>
      <c r="D8" s="13" t="n">
        <v>27.22</v>
      </c>
      <c r="E8" s="9" t="inlineStr">
        <is>
          <t>1-25 kg</t>
        </is>
      </c>
      <c r="F8" s="10" t="n">
        <v>0.0113</v>
      </c>
      <c r="G8" s="11">
        <f>F8/$F$19</f>
        <v/>
      </c>
      <c r="H8" s="14" t="inlineStr">
        <is>
          <t>Nutri Avenue (E141 green color, est.)</t>
        </is>
      </c>
    </row>
    <row r="9">
      <c r="A9" s="8" t="inlineStr">
        <is>
          <t>CBD Hydrobond</t>
        </is>
      </c>
      <c r="B9" s="9" t="n">
        <v>0.075</v>
      </c>
      <c r="C9" s="13" t="inlineStr">
        <is>
          <t>$300.00 /kg</t>
        </is>
      </c>
      <c r="D9" s="13" t="n">
        <v>136.08</v>
      </c>
      <c r="E9" s="9" t="inlineStr">
        <is>
          <t>1 kg</t>
        </is>
      </c>
      <c r="F9" s="10" t="n">
        <v>0.0224</v>
      </c>
      <c r="G9" s="11">
        <f>F9/$F$19</f>
        <v/>
      </c>
      <c r="H9" s="14" t="inlineStr">
        <is>
          <t>Hemp Depot (water-soluble CBD powder)</t>
        </is>
      </c>
    </row>
    <row r="10">
      <c r="A10" s="8" t="inlineStr">
        <is>
          <t>Talin PG95</t>
        </is>
      </c>
      <c r="B10" s="9" t="n">
        <v>0.522</v>
      </c>
      <c r="C10" s="13" t="inlineStr">
        <is>
          <t>$200.00 /kg</t>
        </is>
      </c>
      <c r="D10" s="13" t="n">
        <v>90.72</v>
      </c>
      <c r="E10" s="9" t="inlineStr">
        <is>
          <t>1 kg</t>
        </is>
      </c>
      <c r="F10" s="10" t="n">
        <v>0.1044</v>
      </c>
      <c r="G10" s="11">
        <f>F10/$F$19</f>
        <v/>
      </c>
      <c r="H10" s="14" t="inlineStr">
        <is>
          <t>Knowde (Naturex/Givaudan Talin) + bulk thaumatin</t>
        </is>
      </c>
    </row>
    <row r="11">
      <c r="A11" s="8" t="inlineStr">
        <is>
          <t>Crystalline Fructose</t>
        </is>
      </c>
      <c r="B11" s="9" t="n">
        <v>1.491</v>
      </c>
      <c r="C11" s="13" t="inlineStr">
        <is>
          <t>$1.20 /lb</t>
        </is>
      </c>
      <c r="D11" s="13" t="n">
        <v>1.2</v>
      </c>
      <c r="E11" s="9" t="inlineStr">
        <is>
          <t>50 lb</t>
        </is>
      </c>
      <c r="F11" s="10" t="n">
        <v>0.0039</v>
      </c>
      <c r="G11" s="11">
        <f>F11/$F$19</f>
        <v/>
      </c>
      <c r="H11" s="14" t="inlineStr">
        <is>
          <t>Bakers Authority (ADM Cornsweet)</t>
        </is>
      </c>
    </row>
    <row r="12">
      <c r="A12" s="8" t="inlineStr">
        <is>
          <t>Citric Acid</t>
        </is>
      </c>
      <c r="B12" s="9" t="n">
        <v>0.343</v>
      </c>
      <c r="C12" s="9" t="inlineStr">
        <is>
          <t>$1.52 /lb</t>
        </is>
      </c>
      <c r="D12" s="9" t="n">
        <v>1.52</v>
      </c>
      <c r="E12" s="9" t="inlineStr">
        <is>
          <t>50 lb</t>
        </is>
      </c>
      <c r="F12" s="10" t="n">
        <v>0.0011</v>
      </c>
      <c r="G12" s="11">
        <f>F12/$F$19</f>
        <v/>
      </c>
      <c r="H12" s="12" t="inlineStr">
        <is>
          <t>Internal: Complete Ingredients tab (Brenntag)</t>
        </is>
      </c>
    </row>
    <row r="13">
      <c r="A13" s="8" t="inlineStr">
        <is>
          <t>Ultra Masking Natural Flavor</t>
        </is>
      </c>
      <c r="B13" s="9" t="n">
        <v>1.193</v>
      </c>
      <c r="C13" s="9" t="inlineStr">
        <is>
          <t>$70.00 /gal</t>
        </is>
      </c>
      <c r="D13" s="9" t="n">
        <v>8.390000000000001</v>
      </c>
      <c r="E13" s="9" t="inlineStr">
        <is>
          <t>1 gal</t>
        </is>
      </c>
      <c r="F13" s="10" t="n">
        <v>0.0221</v>
      </c>
      <c r="G13" s="11">
        <f>F13/$F$19</f>
        <v/>
      </c>
      <c r="H13" s="12" t="inlineStr">
        <is>
          <t>Client-directed: $70/gal (SG 1.0 assumed)</t>
        </is>
      </c>
    </row>
    <row r="14">
      <c r="A14" s="8" t="inlineStr">
        <is>
          <t>Organic Cranberry Flavor</t>
        </is>
      </c>
      <c r="B14" s="9" t="n">
        <v>0.895</v>
      </c>
      <c r="C14" s="9" t="inlineStr">
        <is>
          <t>$70.00 /gal</t>
        </is>
      </c>
      <c r="D14" s="9" t="n">
        <v>8.390000000000001</v>
      </c>
      <c r="E14" s="9" t="inlineStr">
        <is>
          <t>1 gal</t>
        </is>
      </c>
      <c r="F14" s="10" t="n">
        <v>0.0165</v>
      </c>
      <c r="G14" s="11">
        <f>F14/$F$19</f>
        <v/>
      </c>
      <c r="H14" s="12" t="inlineStr">
        <is>
          <t>Client-directed: $70/gal (SG 1.0 assumed)</t>
        </is>
      </c>
    </row>
    <row r="15">
      <c r="A15" s="8" t="inlineStr">
        <is>
          <t>Organic Lime Flavor</t>
        </is>
      </c>
      <c r="B15" s="9" t="n">
        <v>0.142</v>
      </c>
      <c r="C15" s="9" t="inlineStr">
        <is>
          <t>$70.00 /gal</t>
        </is>
      </c>
      <c r="D15" s="9" t="n">
        <v>8.390000000000001</v>
      </c>
      <c r="E15" s="9" t="inlineStr">
        <is>
          <t>1 gal</t>
        </is>
      </c>
      <c r="F15" s="10" t="n">
        <v>0.0026</v>
      </c>
      <c r="G15" s="11">
        <f>F15/$F$19</f>
        <v/>
      </c>
      <c r="H15" s="12" t="inlineStr">
        <is>
          <t>Client-directed: $70/gal (SG 1.0 assumed)</t>
        </is>
      </c>
    </row>
    <row r="16">
      <c r="A16" s="8" t="inlineStr">
        <is>
          <t>Natural Cucumber Flavor</t>
        </is>
      </c>
      <c r="B16" s="9" t="n">
        <v>0.358</v>
      </c>
      <c r="C16" s="9" t="inlineStr">
        <is>
          <t>$70.00 /gal</t>
        </is>
      </c>
      <c r="D16" s="9" t="n">
        <v>8.390000000000001</v>
      </c>
      <c r="E16" s="9" t="inlineStr">
        <is>
          <t>1 gal</t>
        </is>
      </c>
      <c r="F16" s="10" t="n">
        <v>0.0066</v>
      </c>
      <c r="G16" s="11">
        <f>F16/$F$19</f>
        <v/>
      </c>
      <c r="H16" s="12" t="inlineStr">
        <is>
          <t>Client-directed: $70/gal (SG 1.0 assumed)</t>
        </is>
      </c>
    </row>
    <row r="17">
      <c r="A17" s="8" t="inlineStr">
        <is>
          <t>Natural Cucumber</t>
        </is>
      </c>
      <c r="B17" s="9" t="n">
        <v>0.716</v>
      </c>
      <c r="C17" s="9" t="inlineStr">
        <is>
          <t>$70.00 /gal</t>
        </is>
      </c>
      <c r="D17" s="9" t="n">
        <v>8.390000000000001</v>
      </c>
      <c r="E17" s="9" t="inlineStr">
        <is>
          <t>1 gal</t>
        </is>
      </c>
      <c r="F17" s="10" t="n">
        <v>0.0132</v>
      </c>
      <c r="G17" s="11">
        <f>F17/$F$19</f>
        <v/>
      </c>
      <c r="H17" s="12" t="inlineStr">
        <is>
          <t>Client-directed: $70/gal (SG 1.0 assumed)</t>
        </is>
      </c>
    </row>
    <row r="18">
      <c r="A18" s="8" t="inlineStr">
        <is>
          <t>Signature Beverage Enhancer</t>
        </is>
      </c>
      <c r="B18" s="9" t="n">
        <v>0.119</v>
      </c>
      <c r="C18" s="13" t="inlineStr">
        <is>
          <t>$34.00 /lb</t>
        </is>
      </c>
      <c r="D18" s="13" t="n">
        <v>34</v>
      </c>
      <c r="E18" s="9" t="inlineStr">
        <is>
          <t>1 lb</t>
        </is>
      </c>
      <c r="F18" s="10" t="n">
        <v>0.0089</v>
      </c>
      <c r="G18" s="11">
        <f>F18/$F$19</f>
        <v/>
      </c>
      <c r="H18" s="12" t="inlineStr">
        <is>
          <t>Internal: Complete Ingredients tab (Signature Flavors analog)</t>
        </is>
      </c>
    </row>
    <row r="19">
      <c r="A19" s="15" t="inlineStr">
        <is>
          <t>TOTAL ingredient cost / can</t>
        </is>
      </c>
      <c r="B19" s="16" t="n"/>
      <c r="C19" s="16" t="n"/>
      <c r="D19" s="16" t="n"/>
      <c r="E19" s="16" t="n"/>
      <c r="F19" s="17">
        <f>SUM(F5:F18)</f>
        <v/>
      </c>
      <c r="G19" s="16" t="n"/>
      <c r="H19" s="16" t="n"/>
    </row>
    <row r="20">
      <c r="A20" s="18" t="inlineStr">
        <is>
          <t>Cost / 24-can case</t>
        </is>
      </c>
      <c r="F20" s="19">
        <f>F19*24</f>
        <v/>
      </c>
    </row>
    <row r="22">
      <c r="A22" s="20" t="inlineStr">
        <is>
          <t>Orange = researched estimate (no firm internal/quoted price). Tighten with actual PO/invoice cost.</t>
        </is>
      </c>
    </row>
  </sheetData>
  <hyperlinks>
    <hyperlink xmlns:r="http://schemas.openxmlformats.org/officeDocument/2006/relationships" ref="H8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1" customWidth="1" min="2" max="2"/>
    <col width="13" customWidth="1" min="3" max="3"/>
    <col width="11" customWidth="1" min="4" max="4"/>
    <col width="10" customWidth="1" min="5" max="5"/>
    <col width="12" customWidth="1" min="6" max="6"/>
    <col width="12" customWidth="1" min="7" max="7"/>
    <col width="52" customWidth="1" min="8" max="8"/>
  </cols>
  <sheetData>
    <row r="1">
      <c r="A1" s="5" t="inlineStr">
        <is>
          <t>Defend — Ingredient Cost per Can</t>
        </is>
      </c>
    </row>
    <row r="2">
      <c r="A2" s="6" t="inlineStr">
        <is>
          <t>355 mL can | 24/case | 5% production-loss adj included | linear (marginal) ingredient cost, MOQ not loaded</t>
        </is>
      </c>
    </row>
    <row r="4">
      <c r="A4" s="7" t="inlineStr">
        <is>
          <t>Ingredient</t>
        </is>
      </c>
      <c r="B4" s="7" t="inlineStr">
        <is>
          <t>Amt/can (g)</t>
        </is>
      </c>
      <c r="C4" s="7" t="inlineStr">
        <is>
          <t>Unit Price</t>
        </is>
      </c>
      <c r="D4" s="7" t="inlineStr">
        <is>
          <t>Cost/lb ($)</t>
        </is>
      </c>
      <c r="E4" s="7" t="inlineStr">
        <is>
          <t>MOQ</t>
        </is>
      </c>
      <c r="F4" s="7" t="inlineStr">
        <is>
          <t>Cost/can ($)</t>
        </is>
      </c>
      <c r="G4" s="7" t="inlineStr">
        <is>
          <t>% of ing. cost</t>
        </is>
      </c>
      <c r="H4" s="7" t="inlineStr">
        <is>
          <t>Source</t>
        </is>
      </c>
    </row>
    <row r="5">
      <c r="A5" s="8" t="inlineStr">
        <is>
          <t>Water</t>
        </is>
      </c>
      <c r="B5" s="9" t="n">
        <v>325.44</v>
      </c>
      <c r="C5" s="9" t="inlineStr">
        <is>
          <t>$0.10 /gal</t>
        </is>
      </c>
      <c r="D5" s="9" t="n">
        <v>0.01</v>
      </c>
      <c r="E5" s="9" t="inlineStr">
        <is>
          <t>1 gal</t>
        </is>
      </c>
      <c r="F5" s="10" t="n">
        <v>0.0086</v>
      </c>
      <c r="G5" s="11">
        <f>F5/$F$10</f>
        <v/>
      </c>
      <c r="H5" s="12" t="inlineStr">
        <is>
          <t>Internal: spec sheet (Drayhorse)</t>
        </is>
      </c>
    </row>
    <row r="6">
      <c r="A6" s="8" t="inlineStr">
        <is>
          <t>GNS (45%)</t>
        </is>
      </c>
      <c r="B6" s="9" t="n">
        <v>41.992</v>
      </c>
      <c r="C6" s="9" t="inlineStr">
        <is>
          <t>$5.56 /gal</t>
        </is>
      </c>
      <c r="D6" s="9" t="n">
        <v>0.78</v>
      </c>
      <c r="E6" s="9" t="inlineStr">
        <is>
          <t>275 gal</t>
        </is>
      </c>
      <c r="F6" s="10" t="n">
        <v>0.0726</v>
      </c>
      <c r="G6" s="11">
        <f>F6/$F$10</f>
        <v/>
      </c>
      <c r="H6" s="12" t="inlineStr">
        <is>
          <t>Internal: Complete Ingredients tab (GNS 95%, Brooklyn/Ultrapure)</t>
        </is>
      </c>
    </row>
    <row r="7">
      <c r="A7" s="8" t="inlineStr">
        <is>
          <t>Lemon Juice Concentrate</t>
        </is>
      </c>
      <c r="B7" s="9" t="n">
        <v>5.249</v>
      </c>
      <c r="C7" s="9" t="inlineStr">
        <is>
          <t>$2.91 /lb</t>
        </is>
      </c>
      <c r="D7" s="9" t="n">
        <v>2.91</v>
      </c>
      <c r="E7" s="9" t="inlineStr">
        <is>
          <t>51 lb</t>
        </is>
      </c>
      <c r="F7" s="10" t="n">
        <v>0.0337</v>
      </c>
      <c r="G7" s="11">
        <f>F7/$F$10</f>
        <v/>
      </c>
      <c r="H7" s="12" t="inlineStr">
        <is>
          <t>Internal: Complete Ingredients tab (Greenwood)</t>
        </is>
      </c>
    </row>
    <row r="8">
      <c r="A8" s="8" t="inlineStr">
        <is>
          <t>White Cane Sugar</t>
        </is>
      </c>
      <c r="B8" s="9" t="n">
        <v>5.249</v>
      </c>
      <c r="C8" s="9" t="inlineStr">
        <is>
          <t>$0.94 /lb</t>
        </is>
      </c>
      <c r="D8" s="9" t="n">
        <v>0.9399999999999999</v>
      </c>
      <c r="E8" s="9" t="inlineStr">
        <is>
          <t>50 lb</t>
        </is>
      </c>
      <c r="F8" s="10" t="n">
        <v>0.0109</v>
      </c>
      <c r="G8" s="11">
        <f>F8/$F$10</f>
        <v/>
      </c>
      <c r="H8" s="12" t="inlineStr">
        <is>
          <t>Internal: Complete Ingredients tab (Granulated Sugar)</t>
        </is>
      </c>
    </row>
    <row r="9">
      <c r="A9" s="8" t="inlineStr">
        <is>
          <t>Lemon Verbena Cut &amp; Sifted</t>
        </is>
      </c>
      <c r="B9" s="9" t="n">
        <v>2.1</v>
      </c>
      <c r="C9" s="13" t="inlineStr">
        <is>
          <t>$12.00 /lb</t>
        </is>
      </c>
      <c r="D9" s="13" t="n">
        <v>12</v>
      </c>
      <c r="E9" s="9" t="inlineStr">
        <is>
          <t>1 lb</t>
        </is>
      </c>
      <c r="F9" s="10" t="n">
        <v>0.0555</v>
      </c>
      <c r="G9" s="11">
        <f>F9/$F$10</f>
        <v/>
      </c>
      <c r="H9" s="14" t="inlineStr">
        <is>
          <t>Monterey Bay Herb Co (est.)</t>
        </is>
      </c>
    </row>
    <row r="10">
      <c r="A10" s="15" t="inlineStr">
        <is>
          <t>TOTAL ingredient cost / can</t>
        </is>
      </c>
      <c r="B10" s="16" t="n"/>
      <c r="C10" s="16" t="n"/>
      <c r="D10" s="16" t="n"/>
      <c r="E10" s="16" t="n"/>
      <c r="F10" s="17">
        <f>SUM(F5:F9)</f>
        <v/>
      </c>
      <c r="G10" s="16" t="n"/>
      <c r="H10" s="16" t="n"/>
    </row>
    <row r="11">
      <c r="A11" s="18" t="inlineStr">
        <is>
          <t>Cost / 24-can case</t>
        </is>
      </c>
      <c r="F11" s="19">
        <f>F10*24</f>
        <v/>
      </c>
    </row>
    <row r="13">
      <c r="A13" s="20" t="inlineStr">
        <is>
          <t>Orange = researched estimate (no firm internal/quoted price). Tighten with actual PO/invoice cost.</t>
        </is>
      </c>
    </row>
  </sheetData>
  <hyperlinks>
    <hyperlink xmlns:r="http://schemas.openxmlformats.org/officeDocument/2006/relationships" ref="H9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2026-05-26T18:14:09Z</dcterms:created>
  <dcterms:modified xsi:type="dcterms:W3CDTF">2026-05-26T18:14:09Z</dcterms:modified>
</cp:coreProperties>
</file>