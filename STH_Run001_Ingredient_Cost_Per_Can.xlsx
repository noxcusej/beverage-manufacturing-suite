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howtime Elixir" sheetId="2" state="visible" r:id="rId2"/>
    <sheet name="Serenity" sheetId="3" state="visible" r:id="rId3"/>
    <sheet name="The Fountain" sheetId="4" state="visible" r:id="rId4"/>
    <sheet name="Defe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$0.0000"/>
    <numFmt numFmtId="166" formatCode="0.0%"/>
    <numFmt numFmtId="167" formatCode="$0.00"/>
  </numFmts>
  <fonts count="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55555"/>
      <sz val="9"/>
    </font>
    <font>
      <b val="1"/>
      <color rgb="00FFFFFF"/>
      <sz val="10"/>
    </font>
    <font>
      <color rgb="000563C1"/>
      <sz val="9"/>
      <u val="single"/>
    </font>
    <font>
      <color rgb="00B85C00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vertical="top" wrapText="1"/>
    </xf>
    <xf numFmtId="0" fontId="6" fillId="3" borderId="1" pivotButton="0" quotePrefix="0" xfId="0"/>
    <xf numFmtId="0" fontId="0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165" fontId="7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berry.com/en/natural-food-colors-formats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bobawarehouse.com/products/bossen-lychee-litchi-syrup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mountainroseherbs.com/chamomile-hydrosol" TargetMode="External" Id="rId1" /><Relationship Type="http://schemas.openxmlformats.org/officeDocument/2006/relationships/hyperlink" Target="https://exberry.com/en/natural-food-colors-formats/" TargetMode="External" Id="rId2" /><Relationship Type="http://schemas.openxmlformats.org/officeDocument/2006/relationships/hyperlink" Target="https://hempdepotwholesale.com/product/broad-spectrum-nano-encapsulated-water-soluble-cbd-powder/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nutriavenue.com/ingredients/sodium-copper-chlorophyllin-2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www.knowde.com/stores/givaudan-naturex/products/naturex-talin-gl95-so000006" TargetMode="External" Id="rId3" /><Relationship Type="http://schemas.openxmlformats.org/officeDocument/2006/relationships/hyperlink" Target="https://www.bakersauthority.com/products/adm-cornsweet-crystalline-fructose-powder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ulkapothecary.com/raw-ingredients/other-ingredients-and-chemicals/glycerin/" TargetMode="External" Id="rId1" /><Relationship Type="http://schemas.openxmlformats.org/officeDocument/2006/relationships/hyperlink" Target="https://www.nutriavenue.com/ingredients/sodium-copper-chlorophyllin-2/" TargetMode="External" Id="rId2" /><Relationship Type="http://schemas.openxmlformats.org/officeDocument/2006/relationships/hyperlink" Target="https://hempdepotwholesale.com/product/broad-spectrum-nano-encapsulated-water-soluble-cbd-powder/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2" customWidth="1" min="1" max="1"/>
  </cols>
  <sheetData>
    <row r="1">
      <c r="A1" s="1" t="inlineStr">
        <is>
          <t>Southern Tier Hemp — Run 001  |  Ingredient cost per can (rebuilt from Spec tabs)</t>
        </is>
      </c>
    </row>
    <row r="2">
      <c r="A2" s="2" t="inlineStr">
        <is>
          <t>Generated 2026-05-26</t>
        </is>
      </c>
    </row>
    <row r="3">
      <c r="A3" s="3" t="inlineStr"/>
    </row>
    <row r="4">
      <c r="A4" s="4" t="inlineStr">
        <is>
          <t>Source of recipes</t>
        </is>
      </c>
    </row>
    <row r="5">
      <c r="A5" s="3" t="inlineStr">
        <is>
          <t>Recipes are taken from the four "Spec - &lt;product&gt;" tabs, whose formulas are stored as embedded IMAGES (not cell values).</t>
        </is>
      </c>
    </row>
    <row r="6">
      <c r="A6" s="3" t="inlineStr">
        <is>
          <t>All four products are 250 mL fill, 12 cans/pack, 100% case yield = 15,141.6 cans per 3,785.41 L (1,000 gal) batch.</t>
        </is>
      </c>
    </row>
    <row r="7">
      <c r="A7" s="3" t="inlineStr"/>
    </row>
    <row r="8">
      <c r="A8" s="4" t="inlineStr">
        <is>
          <t>Why the earlier version was wrong</t>
        </is>
      </c>
    </row>
    <row r="9">
      <c r="A9" s="3" t="inlineStr">
        <is>
          <t>The first workbook was built from the "Quoting - &lt;product&gt;" tabs, which are unreliable: (1) Serenity dropped "Organic</t>
        </is>
      </c>
    </row>
    <row r="10">
      <c r="A10" s="3" t="inlineStr">
        <is>
          <t>Chamomile Flavor" and mis-aligned the bottom quantities; (2) The Fountain was set to 355 mL with a scrambled list;</t>
        </is>
      </c>
    </row>
    <row r="11">
      <c r="A11" s="3" t="inlineStr">
        <is>
          <t>(3) Defend carried a completely different placeholder recipe (GNS/sugar/verbena at 1,000 gal); (4) the Cost/Unit column</t>
        </is>
      </c>
    </row>
    <row r="12">
      <c r="A12" s="3" t="inlineStr">
        <is>
          <t>repeated the same four placeholder prices down every product. This version ignores the Quoting tabs for recipe + price.</t>
        </is>
      </c>
    </row>
    <row r="13">
      <c r="A13" s="3" t="inlineStr"/>
    </row>
    <row r="14">
      <c r="A14" s="4" t="inlineStr">
        <is>
          <t>Method</t>
        </is>
      </c>
    </row>
    <row r="15">
      <c r="A15" s="3" t="inlineStr">
        <is>
          <t>Cost/can = (spec g/can / 453.592) x cost/lb.  Cost/lb normalization: $/kg x 0.4536; $/gal / (8.345 x SG); $/lb as-is.</t>
        </is>
      </c>
    </row>
    <row r="16">
      <c r="A16" s="3" t="inlineStr">
        <is>
          <t>Spec g/can shown are exact (match the spec). A separate line adds 5% for production/yield loss (what you must purchase).</t>
        </is>
      </c>
    </row>
    <row r="17">
      <c r="A17" s="3" t="inlineStr">
        <is>
          <t>Natural flavors (Gold Coast / FONA) priced per client direction at $70/gal (SG 1.0). Signature Beverage Enhancer kept at</t>
        </is>
      </c>
    </row>
    <row r="18">
      <c r="A18" s="3" t="inlineStr">
        <is>
          <t>a separate $34/lb estimate (say the word to move it to $70/gal too).</t>
        </is>
      </c>
    </row>
    <row r="19">
      <c r="A19" s="3" t="inlineStr"/>
    </row>
    <row r="20">
      <c r="A20" s="4" t="inlineStr">
        <is>
          <t>Confidence</t>
        </is>
      </c>
    </row>
    <row r="21">
      <c r="A21" s="3" t="inlineStr">
        <is>
          <t>Orange cells = researched estimates (CBD Hydrobond, Talin PG95, natural colors, chamomile hydrosol, vegetable glycerin,</t>
        </is>
      </c>
    </row>
    <row r="22">
      <c r="A22" s="3" t="inlineStr">
        <is>
          <t>Signature Enhancer). Biggest swing factors: Serenity chamomile hydrosol (~$0.22/can) and Talin. Firm: water, citric acid,</t>
        </is>
      </c>
    </row>
    <row r="23">
      <c r="A23" s="3" t="inlineStr">
        <is>
          <t>fructose, preservatives, Bossen lychee. Replace orange items with actual purchase costs to finalize.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Showtime Elixir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245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0.0065</v>
      </c>
      <c r="G5" s="12">
        <f>F5/$F$19</f>
        <v/>
      </c>
      <c r="H5" s="13" t="inlineStr">
        <is>
          <t>Internal: spec sheet (Drayhorse RO)</t>
        </is>
      </c>
    </row>
    <row r="6">
      <c r="A6" s="8" t="inlineStr">
        <is>
          <t>Potassium Benzoate</t>
        </is>
      </c>
      <c r="B6" s="9" t="n">
        <v>0.075</v>
      </c>
      <c r="C6" s="10" t="inlineStr">
        <is>
          <t>$4.82 /kg</t>
        </is>
      </c>
      <c r="D6" s="10" t="n">
        <v>2.19</v>
      </c>
      <c r="E6" s="10" t="inlineStr">
        <is>
          <t>~55 lb</t>
        </is>
      </c>
      <c r="F6" s="11" t="n">
        <v>0.0004</v>
      </c>
      <c r="G6" s="12">
        <f>F6/$F$19</f>
        <v/>
      </c>
      <c r="H6" s="13" t="inlineStr">
        <is>
          <t>Internal: Katana avg cost</t>
        </is>
      </c>
    </row>
    <row r="7">
      <c r="A7" s="8" t="inlineStr">
        <is>
          <t>Potassium Sorbate</t>
        </is>
      </c>
      <c r="B7" s="9" t="n">
        <v>0.075</v>
      </c>
      <c r="C7" s="10" t="inlineStr">
        <is>
          <t>$2.86 /kg</t>
        </is>
      </c>
      <c r="D7" s="10" t="n">
        <v>1.3</v>
      </c>
      <c r="E7" s="10" t="inlineStr">
        <is>
          <t>55 lb</t>
        </is>
      </c>
      <c r="F7" s="11" t="n">
        <v>0.0002</v>
      </c>
      <c r="G7" s="12">
        <f>F7/$F$19</f>
        <v/>
      </c>
      <c r="H7" s="13" t="inlineStr">
        <is>
          <t>Internal: Katana avg cost</t>
        </is>
      </c>
    </row>
    <row r="8">
      <c r="A8" s="8" t="inlineStr">
        <is>
          <t>GNT USA Grape Blue Shade 183922</t>
        </is>
      </c>
      <c r="B8" s="9" t="n">
        <v>0.126</v>
      </c>
      <c r="C8" s="14" t="inlineStr">
        <is>
          <t>$55.00 /kg</t>
        </is>
      </c>
      <c r="D8" s="14" t="n">
        <v>24.95</v>
      </c>
      <c r="E8" s="10" t="inlineStr">
        <is>
          <t>~25 kg</t>
        </is>
      </c>
      <c r="F8" s="11" t="n">
        <v>0.0069</v>
      </c>
      <c r="G8" s="12">
        <f>F8/$F$19</f>
        <v/>
      </c>
      <c r="H8" s="15" t="inlineStr">
        <is>
          <t>GNT EXBERRY natural color (est.)</t>
        </is>
      </c>
    </row>
    <row r="9">
      <c r="A9" s="8" t="inlineStr">
        <is>
          <t>CBD Hydrobond 685449</t>
        </is>
      </c>
      <c r="B9" s="9" t="n">
        <v>0.05</v>
      </c>
      <c r="C9" s="14" t="inlineStr">
        <is>
          <t>$300.00 /kg</t>
        </is>
      </c>
      <c r="D9" s="14" t="n">
        <v>136.08</v>
      </c>
      <c r="E9" s="10" t="inlineStr">
        <is>
          <t>1 kg</t>
        </is>
      </c>
      <c r="F9" s="11" t="n">
        <v>0.015</v>
      </c>
      <c r="G9" s="12">
        <f>F9/$F$19</f>
        <v/>
      </c>
      <c r="H9" s="15" t="inlineStr">
        <is>
          <t>Hemp Depot water-soluble CBD (est.)</t>
        </is>
      </c>
    </row>
    <row r="10">
      <c r="A10" s="8" t="inlineStr">
        <is>
          <t>Bossen Lychee Conc. Syrup 535SYPLYCH-SM</t>
        </is>
      </c>
      <c r="B10" s="9" t="n">
        <v>1.25</v>
      </c>
      <c r="C10" s="10" t="inlineStr">
        <is>
          <t>$15.45 /lb</t>
        </is>
      </c>
      <c r="D10" s="10" t="n">
        <v>15.45</v>
      </c>
      <c r="E10" s="10" t="inlineStr">
        <is>
          <t>5.5 lb</t>
        </is>
      </c>
      <c r="F10" s="11" t="n">
        <v>0.0426</v>
      </c>
      <c r="G10" s="12">
        <f>F10/$F$19</f>
        <v/>
      </c>
      <c r="H10" s="15" t="inlineStr">
        <is>
          <t>Boba Warehouse ($85 / 5.5 lb)</t>
        </is>
      </c>
    </row>
    <row r="11">
      <c r="A11" s="8" t="inlineStr">
        <is>
          <t>Talin PG95 T0001 (Naturex)</t>
        </is>
      </c>
      <c r="B11" s="9" t="n">
        <v>0.35</v>
      </c>
      <c r="C11" s="14" t="inlineStr">
        <is>
          <t>$200.00 /kg</t>
        </is>
      </c>
      <c r="D11" s="14" t="n">
        <v>90.72</v>
      </c>
      <c r="E11" s="10" t="inlineStr">
        <is>
          <t>1 kg</t>
        </is>
      </c>
      <c r="F11" s="11" t="n">
        <v>0.07000000000000001</v>
      </c>
      <c r="G11" s="12">
        <f>F11/$F$19</f>
        <v/>
      </c>
      <c r="H11" s="15" t="inlineStr">
        <is>
          <t>Naturex/Givaudan Talin; bulk thaumatin (est.)</t>
        </is>
      </c>
    </row>
    <row r="12">
      <c r="A12" s="8" t="inlineStr">
        <is>
          <t>Crystalline Fructose</t>
        </is>
      </c>
      <c r="B12" s="9" t="n">
        <v>1</v>
      </c>
      <c r="C12" s="14" t="inlineStr">
        <is>
          <t>$1.20 /lb</t>
        </is>
      </c>
      <c r="D12" s="14" t="n">
        <v>1.2</v>
      </c>
      <c r="E12" s="10" t="inlineStr">
        <is>
          <t>50 lb</t>
        </is>
      </c>
      <c r="F12" s="11" t="n">
        <v>0.0026</v>
      </c>
      <c r="G12" s="12">
        <f>F12/$F$19</f>
        <v/>
      </c>
      <c r="H12" s="15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0.23</v>
      </c>
      <c r="C13" s="10" t="inlineStr">
        <is>
          <t>$1.52 /lb</t>
        </is>
      </c>
      <c r="D13" s="10" t="n">
        <v>1.52</v>
      </c>
      <c r="E13" s="10" t="inlineStr">
        <is>
          <t>50 lb</t>
        </is>
      </c>
      <c r="F13" s="11" t="n">
        <v>0.0008</v>
      </c>
      <c r="G13" s="12">
        <f>F13/$F$19</f>
        <v/>
      </c>
      <c r="H13" s="13" t="inlineStr">
        <is>
          <t>Internal: Complete Ingredients tab (Brenntag)</t>
        </is>
      </c>
    </row>
    <row r="14">
      <c r="A14" s="8" t="inlineStr">
        <is>
          <t>Ultra Masking Nat 380223 (Gold Coast)</t>
        </is>
      </c>
      <c r="B14" s="9" t="n">
        <v>0.38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0.007</v>
      </c>
      <c r="G14" s="12">
        <f>F14/$F$19</f>
        <v/>
      </c>
      <c r="H14" s="13" t="inlineStr">
        <is>
          <t>Client-directed: $70/gal (SG 1.0 assumed)</t>
        </is>
      </c>
    </row>
    <row r="15">
      <c r="A15" s="8" t="inlineStr">
        <is>
          <t>Natural Lychee 348692 (Gold Coast)</t>
        </is>
      </c>
      <c r="B15" s="9" t="n">
        <v>0.55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0.0102</v>
      </c>
      <c r="G15" s="12">
        <f>F15/$F$19</f>
        <v/>
      </c>
      <c r="H15" s="13" t="inlineStr">
        <is>
          <t>Client-directed: $70/gal (SG 1.0 assumed)</t>
        </is>
      </c>
    </row>
    <row r="16">
      <c r="A16" s="8" t="inlineStr">
        <is>
          <t>Organic Lemon 601032 (Gold Coast)</t>
        </is>
      </c>
      <c r="B16" s="9" t="n">
        <v>0.15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0.0028</v>
      </c>
      <c r="G16" s="12">
        <f>F16/$F$19</f>
        <v/>
      </c>
      <c r="H16" s="13" t="inlineStr">
        <is>
          <t>Client-directed: $70/gal (SG 1.0 assumed)</t>
        </is>
      </c>
    </row>
    <row r="17">
      <c r="A17" s="8" t="inlineStr">
        <is>
          <t>Pink Grapefruit 606817 (Gold Coast)</t>
        </is>
      </c>
      <c r="B17" s="9" t="n">
        <v>0.48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0.0089</v>
      </c>
      <c r="G17" s="12">
        <f>F17/$F$19</f>
        <v/>
      </c>
      <c r="H17" s="13" t="inlineStr">
        <is>
          <t>Client-directed: $70/gal (SG 1.0 assumed)</t>
        </is>
      </c>
    </row>
    <row r="18">
      <c r="A18" s="8" t="inlineStr">
        <is>
          <t>Signature Beverage Enhancer (Blue Pacific)</t>
        </is>
      </c>
      <c r="B18" s="9" t="n">
        <v>0.08</v>
      </c>
      <c r="C18" s="14" t="inlineStr">
        <is>
          <t>$34.00 /lb</t>
        </is>
      </c>
      <c r="D18" s="14" t="n">
        <v>34</v>
      </c>
      <c r="E18" s="10" t="inlineStr">
        <is>
          <t>1 lb</t>
        </is>
      </c>
      <c r="F18" s="11" t="n">
        <v>0.006</v>
      </c>
      <c r="G18" s="12">
        <f>F18/$F$19</f>
        <v/>
      </c>
      <c r="H18" s="13" t="inlineStr">
        <is>
          <t>Blue Pacific Flavors analog (est.)</t>
        </is>
      </c>
    </row>
    <row r="19">
      <c r="A19" s="16" t="inlineStr">
        <is>
          <t>TOTAL ingredient cost / can</t>
        </is>
      </c>
      <c r="B19" s="17" t="n"/>
      <c r="C19" s="17" t="n"/>
      <c r="D19" s="17" t="n"/>
      <c r="E19" s="17" t="n"/>
      <c r="F19" s="18">
        <f>SUM(F5:F18)</f>
        <v/>
      </c>
      <c r="G19" s="17" t="n"/>
      <c r="H19" s="17" t="n"/>
    </row>
    <row r="20">
      <c r="A20" s="19" t="inlineStr">
        <is>
          <t xml:space="preserve">  + 5% production-loss (purchasing basis)</t>
        </is>
      </c>
      <c r="F20" s="20">
        <f>F19*1.05</f>
        <v/>
      </c>
    </row>
    <row r="21">
      <c r="A21" s="21" t="inlineStr">
        <is>
          <t>Cost / 12-pack (with loss)</t>
        </is>
      </c>
      <c r="F21" s="22">
        <f>F20*12</f>
        <v/>
      </c>
    </row>
    <row r="23">
      <c r="A23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Serenity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227.2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</v>
      </c>
      <c r="G5" s="12">
        <f>F5/$F$20</f>
        <v/>
      </c>
      <c r="H5" s="13" t="inlineStr">
        <is>
          <t>Internal: spec sheet (Drayhorse RO)</t>
        </is>
      </c>
    </row>
    <row r="6">
      <c r="A6" s="8" t="inlineStr">
        <is>
          <t>Chamomile Hydrosol (DOFON)</t>
        </is>
      </c>
      <c r="B6" s="9" t="n">
        <v>16.8</v>
      </c>
      <c r="C6" s="14" t="inlineStr">
        <is>
          <t>$50.00 /gal</t>
        </is>
      </c>
      <c r="D6" s="14" t="n">
        <v>5.99</v>
      </c>
      <c r="E6" s="10" t="inlineStr">
        <is>
          <t>1 gal</t>
        </is>
      </c>
      <c r="F6" s="11" t="n">
        <v>0.2219</v>
      </c>
      <c r="G6" s="12">
        <f>F6/$F$20</f>
        <v/>
      </c>
      <c r="H6" s="15" t="inlineStr">
        <is>
          <t>Mountain Rose Herbs (est.)</t>
        </is>
      </c>
    </row>
    <row r="7">
      <c r="A7" s="8" t="inlineStr">
        <is>
          <t>Potassium Benzoate</t>
        </is>
      </c>
      <c r="B7" s="9" t="n">
        <v>0.075</v>
      </c>
      <c r="C7" s="10" t="inlineStr">
        <is>
          <t>$4.82 /kg</t>
        </is>
      </c>
      <c r="D7" s="10" t="n">
        <v>2.19</v>
      </c>
      <c r="E7" s="10" t="inlineStr">
        <is>
          <t>~55 lb</t>
        </is>
      </c>
      <c r="F7" s="11" t="n">
        <v>0.0004</v>
      </c>
      <c r="G7" s="12">
        <f>F7/$F$20</f>
        <v/>
      </c>
      <c r="H7" s="13" t="inlineStr">
        <is>
          <t>Internal: Katana avg cost</t>
        </is>
      </c>
    </row>
    <row r="8">
      <c r="A8" s="8" t="inlineStr">
        <is>
          <t>Potassium Sorbate</t>
        </is>
      </c>
      <c r="B8" s="9" t="n">
        <v>0.075</v>
      </c>
      <c r="C8" s="10" t="inlineStr">
        <is>
          <t>$2.86 /kg</t>
        </is>
      </c>
      <c r="D8" s="10" t="n">
        <v>1.3</v>
      </c>
      <c r="E8" s="10" t="inlineStr">
        <is>
          <t>55 lb</t>
        </is>
      </c>
      <c r="F8" s="11" t="n">
        <v>0.0002</v>
      </c>
      <c r="G8" s="12">
        <f>F8/$F$20</f>
        <v/>
      </c>
      <c r="H8" s="13" t="inlineStr">
        <is>
          <t>Internal: Katana avg cost</t>
        </is>
      </c>
    </row>
    <row r="9">
      <c r="A9" s="8" t="inlineStr">
        <is>
          <t>GNT USA Grape Blue Shade 183922</t>
        </is>
      </c>
      <c r="B9" s="9" t="n">
        <v>0.226</v>
      </c>
      <c r="C9" s="14" t="inlineStr">
        <is>
          <t>$55.00 /kg</t>
        </is>
      </c>
      <c r="D9" s="14" t="n">
        <v>24.95</v>
      </c>
      <c r="E9" s="10" t="inlineStr">
        <is>
          <t>~25 kg</t>
        </is>
      </c>
      <c r="F9" s="11" t="n">
        <v>0.0124</v>
      </c>
      <c r="G9" s="12">
        <f>F9/$F$20</f>
        <v/>
      </c>
      <c r="H9" s="15" t="inlineStr">
        <is>
          <t>GNT EXBERRY natural color (est.)</t>
        </is>
      </c>
    </row>
    <row r="10">
      <c r="A10" s="8" t="inlineStr">
        <is>
          <t>CBD Hydrobond 685449</t>
        </is>
      </c>
      <c r="B10" s="9" t="n">
        <v>0.05</v>
      </c>
      <c r="C10" s="14" t="inlineStr">
        <is>
          <t>$300.00 /kg</t>
        </is>
      </c>
      <c r="D10" s="14" t="n">
        <v>136.08</v>
      </c>
      <c r="E10" s="10" t="inlineStr">
        <is>
          <t>1 kg</t>
        </is>
      </c>
      <c r="F10" s="11" t="n">
        <v>0.015</v>
      </c>
      <c r="G10" s="12">
        <f>F10/$F$20</f>
        <v/>
      </c>
      <c r="H10" s="15" t="inlineStr">
        <is>
          <t>Hemp Depot water-soluble CBD (est.)</t>
        </is>
      </c>
    </row>
    <row r="11">
      <c r="A11" s="8" t="inlineStr">
        <is>
          <t>Talin PG95 T0001 (Naturex)</t>
        </is>
      </c>
      <c r="B11" s="9" t="n">
        <v>0.45</v>
      </c>
      <c r="C11" s="14" t="inlineStr">
        <is>
          <t>$200.00 /kg</t>
        </is>
      </c>
      <c r="D11" s="14" t="n">
        <v>90.72</v>
      </c>
      <c r="E11" s="10" t="inlineStr">
        <is>
          <t>1 kg</t>
        </is>
      </c>
      <c r="F11" s="11" t="n">
        <v>0.09</v>
      </c>
      <c r="G11" s="12">
        <f>F11/$F$20</f>
        <v/>
      </c>
      <c r="H11" s="15" t="inlineStr">
        <is>
          <t>Naturex/Givaudan Talin; bulk thaumatin (est.)</t>
        </is>
      </c>
    </row>
    <row r="12">
      <c r="A12" s="8" t="inlineStr">
        <is>
          <t>Crystalline Fructose</t>
        </is>
      </c>
      <c r="B12" s="9" t="n">
        <v>1</v>
      </c>
      <c r="C12" s="14" t="inlineStr">
        <is>
          <t>$1.20 /lb</t>
        </is>
      </c>
      <c r="D12" s="14" t="n">
        <v>1.2</v>
      </c>
      <c r="E12" s="10" t="inlineStr">
        <is>
          <t>50 lb</t>
        </is>
      </c>
      <c r="F12" s="11" t="n">
        <v>0.0026</v>
      </c>
      <c r="G12" s="12">
        <f>F12/$F$20</f>
        <v/>
      </c>
      <c r="H12" s="15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0.33</v>
      </c>
      <c r="C13" s="10" t="inlineStr">
        <is>
          <t>$1.52 /lb</t>
        </is>
      </c>
      <c r="D13" s="10" t="n">
        <v>1.52</v>
      </c>
      <c r="E13" s="10" t="inlineStr">
        <is>
          <t>50 lb</t>
        </is>
      </c>
      <c r="F13" s="11" t="n">
        <v>0.0011</v>
      </c>
      <c r="G13" s="12">
        <f>F13/$F$20</f>
        <v/>
      </c>
      <c r="H13" s="13" t="inlineStr">
        <is>
          <t>Internal: Complete Ingredients tab (Brenntag)</t>
        </is>
      </c>
    </row>
    <row r="14">
      <c r="A14" s="8" t="inlineStr">
        <is>
          <t>Ultra Masking Nat 380223 (Gold Coast)</t>
        </is>
      </c>
      <c r="B14" s="9" t="n">
        <v>0.38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0.007</v>
      </c>
      <c r="G14" s="12">
        <f>F14/$F$20</f>
        <v/>
      </c>
      <c r="H14" s="13" t="inlineStr">
        <is>
          <t>Client-directed: $70/gal (SG 1.0 assumed)</t>
        </is>
      </c>
    </row>
    <row r="15">
      <c r="A15" s="8" t="inlineStr">
        <is>
          <t>Organic Lemon 601032 (Gold Coast)</t>
        </is>
      </c>
      <c r="B15" s="9" t="n">
        <v>0.23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0.0043</v>
      </c>
      <c r="G15" s="12">
        <f>F15/$F$20</f>
        <v/>
      </c>
      <c r="H15" s="13" t="inlineStr">
        <is>
          <t>Client-directed: $70/gal (SG 1.0 assumed)</t>
        </is>
      </c>
    </row>
    <row r="16">
      <c r="A16" s="8" t="inlineStr">
        <is>
          <t>Natural Raspberry Flavor 161443 (Gold Coast)</t>
        </is>
      </c>
      <c r="B16" s="9" t="n">
        <v>0.68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0.0126</v>
      </c>
      <c r="G16" s="12">
        <f>F16/$F$20</f>
        <v/>
      </c>
      <c r="H16" s="13" t="inlineStr">
        <is>
          <t>Client-directed: $70/gal (SG 1.0 assumed)</t>
        </is>
      </c>
    </row>
    <row r="17">
      <c r="A17" s="8" t="inlineStr">
        <is>
          <t>Organic Chamomile Flavor 357484 (Gold Coast)</t>
        </is>
      </c>
      <c r="B17" s="9" t="n">
        <v>0.35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0.0065</v>
      </c>
      <c r="G17" s="12">
        <f>F17/$F$20</f>
        <v/>
      </c>
      <c r="H17" s="13" t="inlineStr">
        <is>
          <t>Client-directed: $70/gal (SG 1.0 assumed)</t>
        </is>
      </c>
    </row>
    <row r="18">
      <c r="A18" s="8" t="inlineStr">
        <is>
          <t>Organic Cranberry Flavor 606856 (Gold Coast)</t>
        </is>
      </c>
      <c r="B18" s="9" t="n">
        <v>0.68</v>
      </c>
      <c r="C18" s="10" t="inlineStr">
        <is>
          <t>$70.00 /gal</t>
        </is>
      </c>
      <c r="D18" s="10" t="n">
        <v>8.390000000000001</v>
      </c>
      <c r="E18" s="10" t="inlineStr">
        <is>
          <t>1 gal</t>
        </is>
      </c>
      <c r="F18" s="11" t="n">
        <v>0.0126</v>
      </c>
      <c r="G18" s="12">
        <f>F18/$F$20</f>
        <v/>
      </c>
      <c r="H18" s="13" t="inlineStr">
        <is>
          <t>Client-directed: $70/gal (SG 1.0 assumed)</t>
        </is>
      </c>
    </row>
    <row r="19">
      <c r="A19" s="8" t="inlineStr">
        <is>
          <t>Signature Beverage Enhancer (Blue Pacific)</t>
        </is>
      </c>
      <c r="B19" s="9" t="n">
        <v>0.12</v>
      </c>
      <c r="C19" s="14" t="inlineStr">
        <is>
          <t>$34.00 /lb</t>
        </is>
      </c>
      <c r="D19" s="14" t="n">
        <v>34</v>
      </c>
      <c r="E19" s="10" t="inlineStr">
        <is>
          <t>1 lb</t>
        </is>
      </c>
      <c r="F19" s="11" t="n">
        <v>0.008999999999999999</v>
      </c>
      <c r="G19" s="12">
        <f>F19/$F$20</f>
        <v/>
      </c>
      <c r="H19" s="13" t="inlineStr">
        <is>
          <t>Blue Pacific Flavors analog (est.)</t>
        </is>
      </c>
    </row>
    <row r="20">
      <c r="A20" s="16" t="inlineStr">
        <is>
          <t>TOTAL ingredient cost / can</t>
        </is>
      </c>
      <c r="B20" s="17" t="n"/>
      <c r="C20" s="17" t="n"/>
      <c r="D20" s="17" t="n"/>
      <c r="E20" s="17" t="n"/>
      <c r="F20" s="18">
        <f>SUM(F5:F19)</f>
        <v/>
      </c>
      <c r="G20" s="17" t="n"/>
      <c r="H20" s="17" t="n"/>
    </row>
    <row r="21">
      <c r="A21" s="19" t="inlineStr">
        <is>
          <t xml:space="preserve">  + 5% production-loss (purchasing basis)</t>
        </is>
      </c>
      <c r="F21" s="20">
        <f>F20*1.05</f>
        <v/>
      </c>
    </row>
    <row r="22">
      <c r="A22" s="21" t="inlineStr">
        <is>
          <t>Cost / 12-pack (with loss)</t>
        </is>
      </c>
      <c r="F22" s="22">
        <f>F21*12</f>
        <v/>
      </c>
    </row>
    <row r="24">
      <c r="A24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The Fountain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242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0.0064</v>
      </c>
      <c r="G5" s="12">
        <f>F5/$F$19</f>
        <v/>
      </c>
      <c r="H5" s="13" t="inlineStr">
        <is>
          <t>Internal: spec sheet (Drayhorse RO)</t>
        </is>
      </c>
    </row>
    <row r="6">
      <c r="A6" s="8" t="inlineStr">
        <is>
          <t>Potassium Benzoate</t>
        </is>
      </c>
      <c r="B6" s="9" t="n">
        <v>0.075</v>
      </c>
      <c r="C6" s="10" t="inlineStr">
        <is>
          <t>$4.82 /kg</t>
        </is>
      </c>
      <c r="D6" s="10" t="n">
        <v>2.19</v>
      </c>
      <c r="E6" s="10" t="inlineStr">
        <is>
          <t>~55 lb</t>
        </is>
      </c>
      <c r="F6" s="11" t="n">
        <v>0.0004</v>
      </c>
      <c r="G6" s="12">
        <f>F6/$F$19</f>
        <v/>
      </c>
      <c r="H6" s="13" t="inlineStr">
        <is>
          <t>Internal: Katana avg cost</t>
        </is>
      </c>
    </row>
    <row r="7">
      <c r="A7" s="8" t="inlineStr">
        <is>
          <t>Potassium Sorbate</t>
        </is>
      </c>
      <c r="B7" s="9" t="n">
        <v>0.075</v>
      </c>
      <c r="C7" s="10" t="inlineStr">
        <is>
          <t>$2.86 /kg</t>
        </is>
      </c>
      <c r="D7" s="10" t="n">
        <v>1.3</v>
      </c>
      <c r="E7" s="10" t="inlineStr">
        <is>
          <t>55 lb</t>
        </is>
      </c>
      <c r="F7" s="11" t="n">
        <v>0.0002</v>
      </c>
      <c r="G7" s="12">
        <f>F7/$F$19</f>
        <v/>
      </c>
      <c r="H7" s="13" t="inlineStr">
        <is>
          <t>Internal: Katana avg cost</t>
        </is>
      </c>
    </row>
    <row r="8">
      <c r="A8" s="8" t="inlineStr">
        <is>
          <t>Sodium Copper Chlorophyllin CVA101808 (Naturex)</t>
        </is>
      </c>
      <c r="B8" s="9" t="n">
        <v>0.126</v>
      </c>
      <c r="C8" s="14" t="inlineStr">
        <is>
          <t>$60.00 /kg</t>
        </is>
      </c>
      <c r="D8" s="14" t="n">
        <v>27.22</v>
      </c>
      <c r="E8" s="10" t="inlineStr">
        <is>
          <t>1-25 kg</t>
        </is>
      </c>
      <c r="F8" s="11" t="n">
        <v>0.0076</v>
      </c>
      <c r="G8" s="12">
        <f>F8/$F$19</f>
        <v/>
      </c>
      <c r="H8" s="15" t="inlineStr">
        <is>
          <t>Naturex / Nutri Avenue E141 (est.)</t>
        </is>
      </c>
    </row>
    <row r="9">
      <c r="A9" s="8" t="inlineStr">
        <is>
          <t>CBD Hydrobond 685449</t>
        </is>
      </c>
      <c r="B9" s="9" t="n">
        <v>0.05</v>
      </c>
      <c r="C9" s="14" t="inlineStr">
        <is>
          <t>$300.00 /kg</t>
        </is>
      </c>
      <c r="D9" s="14" t="n">
        <v>136.08</v>
      </c>
      <c r="E9" s="10" t="inlineStr">
        <is>
          <t>1 kg</t>
        </is>
      </c>
      <c r="F9" s="11" t="n">
        <v>0.015</v>
      </c>
      <c r="G9" s="12">
        <f>F9/$F$19</f>
        <v/>
      </c>
      <c r="H9" s="15" t="inlineStr">
        <is>
          <t>Hemp Depot water-soluble CBD (est.)</t>
        </is>
      </c>
    </row>
    <row r="10">
      <c r="A10" s="8" t="inlineStr">
        <is>
          <t>Talin PG95 T0001 (Naturex)</t>
        </is>
      </c>
      <c r="B10" s="9" t="n">
        <v>0.35</v>
      </c>
      <c r="C10" s="14" t="inlineStr">
        <is>
          <t>$200.00 /kg</t>
        </is>
      </c>
      <c r="D10" s="14" t="n">
        <v>90.72</v>
      </c>
      <c r="E10" s="10" t="inlineStr">
        <is>
          <t>1 kg</t>
        </is>
      </c>
      <c r="F10" s="11" t="n">
        <v>0.07000000000000001</v>
      </c>
      <c r="G10" s="12">
        <f>F10/$F$19</f>
        <v/>
      </c>
      <c r="H10" s="15" t="inlineStr">
        <is>
          <t>Naturex/Givaudan Talin; bulk thaumatin (est.)</t>
        </is>
      </c>
    </row>
    <row r="11">
      <c r="A11" s="8" t="inlineStr">
        <is>
          <t>Crystalline Fructose</t>
        </is>
      </c>
      <c r="B11" s="9" t="n">
        <v>1</v>
      </c>
      <c r="C11" s="14" t="inlineStr">
        <is>
          <t>$1.20 /lb</t>
        </is>
      </c>
      <c r="D11" s="14" t="n">
        <v>1.2</v>
      </c>
      <c r="E11" s="10" t="inlineStr">
        <is>
          <t>50 lb</t>
        </is>
      </c>
      <c r="F11" s="11" t="n">
        <v>0.0026</v>
      </c>
      <c r="G11" s="12">
        <f>F11/$F$19</f>
        <v/>
      </c>
      <c r="H11" s="15" t="inlineStr">
        <is>
          <t>Bakers Authority (ADM Cornsweet)</t>
        </is>
      </c>
    </row>
    <row r="12">
      <c r="A12" s="8" t="inlineStr">
        <is>
          <t>Citric Acid</t>
        </is>
      </c>
      <c r="B12" s="9" t="n">
        <v>0.23</v>
      </c>
      <c r="C12" s="10" t="inlineStr">
        <is>
          <t>$1.52 /lb</t>
        </is>
      </c>
      <c r="D12" s="10" t="n">
        <v>1.52</v>
      </c>
      <c r="E12" s="10" t="inlineStr">
        <is>
          <t>50 lb</t>
        </is>
      </c>
      <c r="F12" s="11" t="n">
        <v>0.0008</v>
      </c>
      <c r="G12" s="12">
        <f>F12/$F$19</f>
        <v/>
      </c>
      <c r="H12" s="13" t="inlineStr">
        <is>
          <t>Internal: Complete Ingredients tab (Brenntag)</t>
        </is>
      </c>
    </row>
    <row r="13">
      <c r="A13" s="8" t="inlineStr">
        <is>
          <t>Ultra Masking Nat 380223 (Gold Coast)</t>
        </is>
      </c>
      <c r="B13" s="9" t="n">
        <v>0.8</v>
      </c>
      <c r="C13" s="10" t="inlineStr">
        <is>
          <t>$70.00 /gal</t>
        </is>
      </c>
      <c r="D13" s="10" t="n">
        <v>8.390000000000001</v>
      </c>
      <c r="E13" s="10" t="inlineStr">
        <is>
          <t>1 gal</t>
        </is>
      </c>
      <c r="F13" s="11" t="n">
        <v>0.0148</v>
      </c>
      <c r="G13" s="12">
        <f>F13/$F$19</f>
        <v/>
      </c>
      <c r="H13" s="13" t="inlineStr">
        <is>
          <t>Client-directed: $70/gal (SG 1.0 assumed)</t>
        </is>
      </c>
    </row>
    <row r="14">
      <c r="A14" s="8" t="inlineStr">
        <is>
          <t>Organic Cranberry Flavor 606856 (Gold Coast)</t>
        </is>
      </c>
      <c r="B14" s="9" t="n">
        <v>0.6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0.0111</v>
      </c>
      <c r="G14" s="12">
        <f>F14/$F$19</f>
        <v/>
      </c>
      <c r="H14" s="13" t="inlineStr">
        <is>
          <t>Client-directed: $70/gal (SG 1.0 assumed)</t>
        </is>
      </c>
    </row>
    <row r="15">
      <c r="A15" s="8" t="inlineStr">
        <is>
          <t>Organic Lime Flavor 309465 (Gold Coast)</t>
        </is>
      </c>
      <c r="B15" s="9" t="n">
        <v>0.095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0.0018</v>
      </c>
      <c r="G15" s="12">
        <f>F15/$F$19</f>
        <v/>
      </c>
      <c r="H15" s="13" t="inlineStr">
        <is>
          <t>Client-directed: $70/gal (SG 1.0 assumed)</t>
        </is>
      </c>
    </row>
    <row r="16">
      <c r="A16" s="8" t="inlineStr">
        <is>
          <t>Natural Cucumber Flavor 336018 (Gold Coast)</t>
        </is>
      </c>
      <c r="B16" s="9" t="n">
        <v>0.24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0.0044</v>
      </c>
      <c r="G16" s="12">
        <f>F16/$F$19</f>
        <v/>
      </c>
      <c r="H16" s="13" t="inlineStr">
        <is>
          <t>Client-directed: $70/gal (SG 1.0 assumed)</t>
        </is>
      </c>
    </row>
    <row r="17">
      <c r="A17" s="8" t="inlineStr">
        <is>
          <t>Natural Cucumber S1511015 (FONA)</t>
        </is>
      </c>
      <c r="B17" s="9" t="n">
        <v>0.48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0.0089</v>
      </c>
      <c r="G17" s="12">
        <f>F17/$F$19</f>
        <v/>
      </c>
      <c r="H17" s="13" t="inlineStr">
        <is>
          <t>Client-directed: $70/gal (SG 1.0 assumed)</t>
        </is>
      </c>
    </row>
    <row r="18">
      <c r="A18" s="8" t="inlineStr">
        <is>
          <t>Signature Beverage Enhancer (Blue Pacific)</t>
        </is>
      </c>
      <c r="B18" s="9" t="n">
        <v>0.08</v>
      </c>
      <c r="C18" s="14" t="inlineStr">
        <is>
          <t>$34.00 /lb</t>
        </is>
      </c>
      <c r="D18" s="14" t="n">
        <v>34</v>
      </c>
      <c r="E18" s="10" t="inlineStr">
        <is>
          <t>1 lb</t>
        </is>
      </c>
      <c r="F18" s="11" t="n">
        <v>0.006</v>
      </c>
      <c r="G18" s="12">
        <f>F18/$F$19</f>
        <v/>
      </c>
      <c r="H18" s="13" t="inlineStr">
        <is>
          <t>Blue Pacific Flavors analog (est.)</t>
        </is>
      </c>
    </row>
    <row r="19">
      <c r="A19" s="16" t="inlineStr">
        <is>
          <t>TOTAL ingredient cost / can</t>
        </is>
      </c>
      <c r="B19" s="17" t="n"/>
      <c r="C19" s="17" t="n"/>
      <c r="D19" s="17" t="n"/>
      <c r="E19" s="17" t="n"/>
      <c r="F19" s="18">
        <f>SUM(F5:F18)</f>
        <v/>
      </c>
      <c r="G19" s="17" t="n"/>
      <c r="H19" s="17" t="n"/>
    </row>
    <row r="20">
      <c r="A20" s="19" t="inlineStr">
        <is>
          <t xml:space="preserve">  + 5% production-loss (purchasing basis)</t>
        </is>
      </c>
      <c r="F20" s="20">
        <f>F19*1.05</f>
        <v/>
      </c>
    </row>
    <row r="21">
      <c r="A21" s="21" t="inlineStr">
        <is>
          <t>Cost / 12-pack (with loss)</t>
        </is>
      </c>
      <c r="F21" s="22">
        <f>F20*12</f>
        <v/>
      </c>
    </row>
    <row r="23">
      <c r="A23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0" customWidth="1" min="4" max="4"/>
    <col width="10" customWidth="1" min="5" max="5"/>
    <col width="11" customWidth="1" min="6" max="6"/>
    <col width="8" customWidth="1" min="7" max="7"/>
    <col width="50" customWidth="1" min="8" max="8"/>
  </cols>
  <sheetData>
    <row r="1">
      <c r="A1" s="5" t="inlineStr">
        <is>
          <t>Defend — Ingredient Cost per Can</t>
        </is>
      </c>
    </row>
    <row r="2">
      <c r="A2" s="6" t="inlineStr">
        <is>
          <t>250 mL fill | 12-pack | source: Spec tab (embedded image). Spec g/can are exact; cost = spec x cost/lb (no loss). Loss line below.</t>
        </is>
      </c>
    </row>
    <row r="4">
      <c r="A4" s="7" t="inlineStr">
        <is>
          <t>Ingredient (per spec)</t>
        </is>
      </c>
      <c r="B4" s="7" t="inlineStr">
        <is>
          <t>Spec g/can</t>
        </is>
      </c>
      <c r="C4" s="7" t="inlineStr">
        <is>
          <t>Unit Price</t>
        </is>
      </c>
      <c r="D4" s="7" t="inlineStr">
        <is>
          <t>Cost/lb $</t>
        </is>
      </c>
      <c r="E4" s="7" t="inlineStr">
        <is>
          <t>MOQ</t>
        </is>
      </c>
      <c r="F4" s="7" t="inlineStr">
        <is>
          <t>Cost/can $</t>
        </is>
      </c>
      <c r="G4" s="7" t="inlineStr">
        <is>
          <t>% ing.</t>
        </is>
      </c>
      <c r="H4" s="7" t="inlineStr">
        <is>
          <t>Source</t>
        </is>
      </c>
    </row>
    <row r="5">
      <c r="A5" s="8" t="inlineStr">
        <is>
          <t>Treated Water (RO)</t>
        </is>
      </c>
      <c r="B5" s="9" t="n">
        <v>233.2</v>
      </c>
      <c r="C5" s="10" t="inlineStr">
        <is>
          <t>$0.10 /gal</t>
        </is>
      </c>
      <c r="D5" s="10" t="n">
        <v>0.01</v>
      </c>
      <c r="E5" s="10" t="inlineStr">
        <is>
          <t>1 gal</t>
        </is>
      </c>
      <c r="F5" s="11" t="n">
        <v>0.0062</v>
      </c>
      <c r="G5" s="12">
        <f>F5/$F$20</f>
        <v/>
      </c>
      <c r="H5" s="13" t="inlineStr">
        <is>
          <t>Internal: spec sheet (Drayhorse RO)</t>
        </is>
      </c>
    </row>
    <row r="6">
      <c r="A6" s="8" t="inlineStr">
        <is>
          <t>Vegetable Glycerin (Cacee)</t>
        </is>
      </c>
      <c r="B6" s="9" t="n">
        <v>12.1</v>
      </c>
      <c r="C6" s="14" t="inlineStr">
        <is>
          <t>$2.00 /lb</t>
        </is>
      </c>
      <c r="D6" s="14" t="n">
        <v>2</v>
      </c>
      <c r="E6" s="10" t="inlineStr">
        <is>
          <t>50 lb</t>
        </is>
      </c>
      <c r="F6" s="11" t="n">
        <v>0.0534</v>
      </c>
      <c r="G6" s="12">
        <f>F6/$F$20</f>
        <v/>
      </c>
      <c r="H6" s="15" t="inlineStr">
        <is>
          <t>Bulk Apothecary / Jedwards (USP, est.)</t>
        </is>
      </c>
    </row>
    <row r="7">
      <c r="A7" s="8" t="inlineStr">
        <is>
          <t>Potassium Benzoate</t>
        </is>
      </c>
      <c r="B7" s="9" t="n">
        <v>0.075</v>
      </c>
      <c r="C7" s="10" t="inlineStr">
        <is>
          <t>$4.82 /kg</t>
        </is>
      </c>
      <c r="D7" s="10" t="n">
        <v>2.19</v>
      </c>
      <c r="E7" s="10" t="inlineStr">
        <is>
          <t>~55 lb</t>
        </is>
      </c>
      <c r="F7" s="11" t="n">
        <v>0.0004</v>
      </c>
      <c r="G7" s="12">
        <f>F7/$F$20</f>
        <v/>
      </c>
      <c r="H7" s="13" t="inlineStr">
        <is>
          <t>Internal: Katana avg cost</t>
        </is>
      </c>
    </row>
    <row r="8">
      <c r="A8" s="8" t="inlineStr">
        <is>
          <t>Potassium Sorbate</t>
        </is>
      </c>
      <c r="B8" s="9" t="n">
        <v>0.075</v>
      </c>
      <c r="C8" s="10" t="inlineStr">
        <is>
          <t>$2.86 /kg</t>
        </is>
      </c>
      <c r="D8" s="10" t="n">
        <v>1.3</v>
      </c>
      <c r="E8" s="10" t="inlineStr">
        <is>
          <t>55 lb</t>
        </is>
      </c>
      <c r="F8" s="11" t="n">
        <v>0.0002</v>
      </c>
      <c r="G8" s="12">
        <f>F8/$F$20</f>
        <v/>
      </c>
      <c r="H8" s="13" t="inlineStr">
        <is>
          <t>Internal: Katana avg cost</t>
        </is>
      </c>
    </row>
    <row r="9">
      <c r="A9" s="8" t="inlineStr">
        <is>
          <t>Sodium Copper Chlorophyllin CA101808 (Naturex)</t>
        </is>
      </c>
      <c r="B9" s="9" t="n">
        <v>0.246</v>
      </c>
      <c r="C9" s="14" t="inlineStr">
        <is>
          <t>$60.00 /kg</t>
        </is>
      </c>
      <c r="D9" s="14" t="n">
        <v>27.22</v>
      </c>
      <c r="E9" s="10" t="inlineStr">
        <is>
          <t>1-25 kg</t>
        </is>
      </c>
      <c r="F9" s="11" t="n">
        <v>0.0148</v>
      </c>
      <c r="G9" s="12">
        <f>F9/$F$20</f>
        <v/>
      </c>
      <c r="H9" s="15" t="inlineStr">
        <is>
          <t>Naturex / Nutri Avenue E141 (est.)</t>
        </is>
      </c>
    </row>
    <row r="10">
      <c r="A10" s="8" t="inlineStr">
        <is>
          <t>CBD Hydrobond 685449</t>
        </is>
      </c>
      <c r="B10" s="9" t="n">
        <v>0.05</v>
      </c>
      <c r="C10" s="14" t="inlineStr">
        <is>
          <t>$300.00 /kg</t>
        </is>
      </c>
      <c r="D10" s="14" t="n">
        <v>136.08</v>
      </c>
      <c r="E10" s="10" t="inlineStr">
        <is>
          <t>1 kg</t>
        </is>
      </c>
      <c r="F10" s="11" t="n">
        <v>0.015</v>
      </c>
      <c r="G10" s="12">
        <f>F10/$F$20</f>
        <v/>
      </c>
      <c r="H10" s="15" t="inlineStr">
        <is>
          <t>Hemp Depot water-soluble CBD (est.)</t>
        </is>
      </c>
    </row>
    <row r="11">
      <c r="A11" s="8" t="inlineStr">
        <is>
          <t>Talin PG95 T0001 (Naturex)</t>
        </is>
      </c>
      <c r="B11" s="9" t="n">
        <v>0.45</v>
      </c>
      <c r="C11" s="14" t="inlineStr">
        <is>
          <t>$200.00 /kg</t>
        </is>
      </c>
      <c r="D11" s="14" t="n">
        <v>90.72</v>
      </c>
      <c r="E11" s="10" t="inlineStr">
        <is>
          <t>1 kg</t>
        </is>
      </c>
      <c r="F11" s="11" t="n">
        <v>0.09</v>
      </c>
      <c r="G11" s="12">
        <f>F11/$F$20</f>
        <v/>
      </c>
      <c r="H11" s="15" t="inlineStr">
        <is>
          <t>Naturex/Givaudan Talin; bulk thaumatin (est.)</t>
        </is>
      </c>
    </row>
    <row r="12">
      <c r="A12" s="8" t="inlineStr">
        <is>
          <t>Crystalline Fructose</t>
        </is>
      </c>
      <c r="B12" s="9" t="n">
        <v>1</v>
      </c>
      <c r="C12" s="14" t="inlineStr">
        <is>
          <t>$1.20 /lb</t>
        </is>
      </c>
      <c r="D12" s="14" t="n">
        <v>1.2</v>
      </c>
      <c r="E12" s="10" t="inlineStr">
        <is>
          <t>50 lb</t>
        </is>
      </c>
      <c r="F12" s="11" t="n">
        <v>0.0026</v>
      </c>
      <c r="G12" s="12">
        <f>F12/$F$20</f>
        <v/>
      </c>
      <c r="H12" s="15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0.15</v>
      </c>
      <c r="C13" s="10" t="inlineStr">
        <is>
          <t>$1.52 /lb</t>
        </is>
      </c>
      <c r="D13" s="10" t="n">
        <v>1.52</v>
      </c>
      <c r="E13" s="10" t="inlineStr">
        <is>
          <t>50 lb</t>
        </is>
      </c>
      <c r="F13" s="11" t="n">
        <v>0.0005</v>
      </c>
      <c r="G13" s="12">
        <f>F13/$F$20</f>
        <v/>
      </c>
      <c r="H13" s="13" t="inlineStr">
        <is>
          <t>Internal: Complete Ingredients tab (Brenntag)</t>
        </is>
      </c>
    </row>
    <row r="14">
      <c r="A14" s="8" t="inlineStr">
        <is>
          <t>Ultra Masking Nat 380223 (Gold Coast)</t>
        </is>
      </c>
      <c r="B14" s="9" t="n">
        <v>0.38</v>
      </c>
      <c r="C14" s="10" t="inlineStr">
        <is>
          <t>$70.00 /gal</t>
        </is>
      </c>
      <c r="D14" s="10" t="n">
        <v>8.390000000000001</v>
      </c>
      <c r="E14" s="10" t="inlineStr">
        <is>
          <t>1 gal</t>
        </is>
      </c>
      <c r="F14" s="11" t="n">
        <v>0.007</v>
      </c>
      <c r="G14" s="12">
        <f>F14/$F$20</f>
        <v/>
      </c>
      <c r="H14" s="13" t="inlineStr">
        <is>
          <t>Client-directed: $70/gal (SG 1.0 assumed)</t>
        </is>
      </c>
    </row>
    <row r="15">
      <c r="A15" s="8" t="inlineStr">
        <is>
          <t>Organic Lemon 601032 (Gold Coast)</t>
        </is>
      </c>
      <c r="B15" s="9" t="n">
        <v>0.23</v>
      </c>
      <c r="C15" s="10" t="inlineStr">
        <is>
          <t>$70.00 /gal</t>
        </is>
      </c>
      <c r="D15" s="10" t="n">
        <v>8.390000000000001</v>
      </c>
      <c r="E15" s="10" t="inlineStr">
        <is>
          <t>1 gal</t>
        </is>
      </c>
      <c r="F15" s="11" t="n">
        <v>0.0043</v>
      </c>
      <c r="G15" s="12">
        <f>F15/$F$20</f>
        <v/>
      </c>
      <c r="H15" s="13" t="inlineStr">
        <is>
          <t>Client-directed: $70/gal (SG 1.0 assumed)</t>
        </is>
      </c>
    </row>
    <row r="16">
      <c r="A16" s="8" t="inlineStr">
        <is>
          <t>Organic Lime 309465 (Gold Coast)</t>
        </is>
      </c>
      <c r="B16" s="9" t="n">
        <v>0.28</v>
      </c>
      <c r="C16" s="10" t="inlineStr">
        <is>
          <t>$70.00 /gal</t>
        </is>
      </c>
      <c r="D16" s="10" t="n">
        <v>8.390000000000001</v>
      </c>
      <c r="E16" s="10" t="inlineStr">
        <is>
          <t>1 gal</t>
        </is>
      </c>
      <c r="F16" s="11" t="n">
        <v>0.0052</v>
      </c>
      <c r="G16" s="12">
        <f>F16/$F$20</f>
        <v/>
      </c>
      <c r="H16" s="13" t="inlineStr">
        <is>
          <t>Client-directed: $70/gal (SG 1.0 assumed)</t>
        </is>
      </c>
    </row>
    <row r="17">
      <c r="A17" s="8" t="inlineStr">
        <is>
          <t>Natural Bergamot Flavor (Gold Coast)</t>
        </is>
      </c>
      <c r="B17" s="9" t="n">
        <v>0.35</v>
      </c>
      <c r="C17" s="10" t="inlineStr">
        <is>
          <t>$70.00 /gal</t>
        </is>
      </c>
      <c r="D17" s="10" t="n">
        <v>8.390000000000001</v>
      </c>
      <c r="E17" s="10" t="inlineStr">
        <is>
          <t>1 gal</t>
        </is>
      </c>
      <c r="F17" s="11" t="n">
        <v>0.0065</v>
      </c>
      <c r="G17" s="12">
        <f>F17/$F$20</f>
        <v/>
      </c>
      <c r="H17" s="13" t="inlineStr">
        <is>
          <t>Client-directed: $70/gal (SG 1.0 assumed)</t>
        </is>
      </c>
    </row>
    <row r="18">
      <c r="A18" s="8" t="inlineStr">
        <is>
          <t>Organic Cranberry Flavor 606856 (Gold Coast)</t>
        </is>
      </c>
      <c r="B18" s="9" t="n">
        <v>0.38</v>
      </c>
      <c r="C18" s="10" t="inlineStr">
        <is>
          <t>$70.00 /gal</t>
        </is>
      </c>
      <c r="D18" s="10" t="n">
        <v>8.390000000000001</v>
      </c>
      <c r="E18" s="10" t="inlineStr">
        <is>
          <t>1 gal</t>
        </is>
      </c>
      <c r="F18" s="11" t="n">
        <v>0.007</v>
      </c>
      <c r="G18" s="12">
        <f>F18/$F$20</f>
        <v/>
      </c>
      <c r="H18" s="13" t="inlineStr">
        <is>
          <t>Client-directed: $70/gal (SG 1.0 assumed)</t>
        </is>
      </c>
    </row>
    <row r="19">
      <c r="A19" s="8" t="inlineStr">
        <is>
          <t>Signature Beverage Enhancer (Blue Pacific)</t>
        </is>
      </c>
      <c r="B19" s="9" t="n">
        <v>0.12</v>
      </c>
      <c r="C19" s="14" t="inlineStr">
        <is>
          <t>$34.00 /lb</t>
        </is>
      </c>
      <c r="D19" s="14" t="n">
        <v>34</v>
      </c>
      <c r="E19" s="10" t="inlineStr">
        <is>
          <t>1 lb</t>
        </is>
      </c>
      <c r="F19" s="11" t="n">
        <v>0.008999999999999999</v>
      </c>
      <c r="G19" s="12">
        <f>F19/$F$20</f>
        <v/>
      </c>
      <c r="H19" s="13" t="inlineStr">
        <is>
          <t>Blue Pacific Flavors analog (est.)</t>
        </is>
      </c>
    </row>
    <row r="20">
      <c r="A20" s="16" t="inlineStr">
        <is>
          <t>TOTAL ingredient cost / can</t>
        </is>
      </c>
      <c r="B20" s="17" t="n"/>
      <c r="C20" s="17" t="n"/>
      <c r="D20" s="17" t="n"/>
      <c r="E20" s="17" t="n"/>
      <c r="F20" s="18">
        <f>SUM(F5:F19)</f>
        <v/>
      </c>
      <c r="G20" s="17" t="n"/>
      <c r="H20" s="17" t="n"/>
    </row>
    <row r="21">
      <c r="A21" s="19" t="inlineStr">
        <is>
          <t xml:space="preserve">  + 5% production-loss (purchasing basis)</t>
        </is>
      </c>
      <c r="F21" s="20">
        <f>F20*1.05</f>
        <v/>
      </c>
    </row>
    <row r="22">
      <c r="A22" s="21" t="inlineStr">
        <is>
          <t>Cost / 12-pack (with loss)</t>
        </is>
      </c>
      <c r="F22" s="22">
        <f>F21*12</f>
        <v/>
      </c>
    </row>
    <row r="24">
      <c r="A24" s="23" t="inlineStr">
        <is>
          <t>Orange = researched estimate (no firm internal/quoted price). Replace with actual PO cost to finalize.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2026-05-26T18:23:19Z</dcterms:created>
  <dcterms:modified xsi:type="dcterms:W3CDTF">2026-05-26T18:23:19Z</dcterms:modified>
</cp:coreProperties>
</file>