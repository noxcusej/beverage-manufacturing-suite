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howtime Elixir" sheetId="2" state="visible" r:id="rId2"/>
    <sheet name="Serenity" sheetId="3" state="visible" r:id="rId3"/>
    <sheet name="The Fountain" sheetId="4" state="visible" r:id="rId4"/>
    <sheet name="Defend" sheetId="5" state="visible" r:id="rId5"/>
    <sheet name="Sources &amp; 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$0.0000"/>
    <numFmt numFmtId="166" formatCode="$0.00"/>
  </numFmts>
  <fonts count="8">
    <font>
      <name val="Calibri"/>
      <family val="2"/>
      <color theme="1"/>
      <sz val="11"/>
      <scheme val="minor"/>
    </font>
    <font>
      <b val="1"/>
      <color rgb="00595959"/>
      <sz val="9"/>
    </font>
    <font>
      <b val="1"/>
      <color rgb="00FFFFFF"/>
      <sz val="9"/>
    </font>
    <font>
      <b val="1"/>
    </font>
    <font>
      <b val="1"/>
      <color rgb="001F4E78"/>
      <sz val="13"/>
    </font>
    <font>
      <i val="1"/>
      <color rgb="00666666"/>
      <sz val="9"/>
    </font>
    <font>
      <color rgb="000563C1"/>
      <sz val="9"/>
      <u val="single"/>
    </font>
    <font>
      <color rgb="00B85C00"/>
    </font>
  </fonts>
  <fills count="6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/>
  </borders>
  <cellStyleXfs count="1">
    <xf numFmtId="0" fontId="0" fillId="0" borderId="0"/>
  </cellStyleXfs>
  <cellXfs count="22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164" fontId="0" fillId="0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2" pivotButton="0" quotePrefix="0" xfId="0"/>
    <xf numFmtId="164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3" fillId="5" borderId="0" pivotButton="0" quotePrefix="0" xfId="0"/>
    <xf numFmtId="0" fontId="0" fillId="5" borderId="1" pivotButton="0" quotePrefix="0" xfId="0"/>
    <xf numFmtId="164" fontId="3" fillId="5" borderId="1" pivotButton="0" quotePrefix="0" xfId="0"/>
    <xf numFmtId="0" fontId="1" fillId="2" borderId="1" pivotButton="0" quotePrefix="0" xfId="0"/>
    <xf numFmtId="0" fontId="0" fillId="0" borderId="0" applyAlignment="1" pivotButton="0" quotePrefix="0" xfId="0">
      <alignment wrapText="1"/>
    </xf>
    <xf numFmtId="0" fontId="7" fillId="0" borderId="0" pivotButton="0" quotePrefix="0" xfId="0"/>
    <xf numFmtId="0" fontId="6" fillId="0" borderId="0" applyAlignment="1" pivotButton="0" quotePrefix="0" xfId="0">
      <alignment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https://www.bulkapothecary.com/raw-ingredients/other-ingredients-and-chemicals/glycerin/" TargetMode="External" Id="rId1" /><Relationship Type="http://schemas.openxmlformats.org/officeDocument/2006/relationships/hyperlink" Target="https://exberry.com/en/natural-food-colors-formats/" TargetMode="External" Id="rId2" /><Relationship Type="http://schemas.openxmlformats.org/officeDocument/2006/relationships/hyperlink" Target="https://www.nutriavenue.com/ingredients/sodium-copper-chlorophyllin-2/" TargetMode="External" Id="rId3" /><Relationship Type="http://schemas.openxmlformats.org/officeDocument/2006/relationships/hyperlink" Target="https://hempdepotwholesale.com/product/broad-spectrum-nano-encapsulated-water-soluble-cbd-powder/" TargetMode="External" Id="rId4" /><Relationship Type="http://schemas.openxmlformats.org/officeDocument/2006/relationships/hyperlink" Target="https://bobawarehouse.com/products/bossen-lychee-litchi-syrup" TargetMode="External" Id="rId5" /><Relationship Type="http://schemas.openxmlformats.org/officeDocument/2006/relationships/hyperlink" Target="https://www.knowde.com/stores/givaudan-naturex/products/naturex-talin-gl95-so000006" TargetMode="External" Id="rId6" /><Relationship Type="http://schemas.openxmlformats.org/officeDocument/2006/relationships/hyperlink" Target="https://www.bakersauthority.com/products/adm-cornsweet-crystalline-fructose-powder" TargetMode="External" Id="rId7" /><Relationship Type="http://schemas.openxmlformats.org/officeDocument/2006/relationships/hyperlink" Target="https://www.florihana.com/us/hydrosols/717-german-chamomile-organic.html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Run summary — 2,000 cases (12-pack), 100-gal base batch</t>
        </is>
      </c>
    </row>
    <row r="2">
      <c r="A2" s="2" t="inlineStr">
        <is>
          <t>Run = 2,000 cases x 12 = 24,000 cans = 1,585 gal = 15.85 x 100-gal batches. (If a case = 24, double everything.)</t>
        </is>
      </c>
    </row>
    <row r="4">
      <c r="A4" s="3" t="inlineStr">
        <is>
          <t>Formula</t>
        </is>
      </c>
      <c r="B4" s="3" t="inlineStr">
        <is>
          <t>Ingredient $/can</t>
        </is>
      </c>
      <c r="C4" s="3" t="inlineStr">
        <is>
          <t>$/case (12)</t>
        </is>
      </c>
      <c r="D4" s="3" t="inlineStr">
        <is>
          <t>Run ingredient $ (linear)</t>
        </is>
      </c>
      <c r="E4" s="3" t="inlineStr">
        <is>
          <t>Run $ incl. MOQ overbuy</t>
        </is>
      </c>
    </row>
    <row r="5">
      <c r="A5" s="4" t="inlineStr">
        <is>
          <t>Showtime Elixir</t>
        </is>
      </c>
      <c r="B5" s="5" t="n">
        <v>0.1798</v>
      </c>
      <c r="C5" s="6" t="n">
        <v>2.1578</v>
      </c>
      <c r="D5" s="7" t="n">
        <v>4315.57</v>
      </c>
      <c r="E5" s="7" t="n">
        <v>6671.18</v>
      </c>
    </row>
    <row r="6">
      <c r="A6" s="4" t="inlineStr">
        <is>
          <t>Serenity</t>
        </is>
      </c>
      <c r="B6" s="5" t="n">
        <v>0.4016</v>
      </c>
      <c r="C6" s="6" t="n">
        <v>4.8187</v>
      </c>
      <c r="D6" s="7" t="n">
        <v>9637.450000000001</v>
      </c>
      <c r="E6" s="7" t="n">
        <v>12392.7</v>
      </c>
    </row>
    <row r="7">
      <c r="A7" s="4" t="inlineStr">
        <is>
          <t>The Fountain</t>
        </is>
      </c>
      <c r="B7" s="5" t="n">
        <v>0.1499</v>
      </c>
      <c r="C7" s="6" t="n">
        <v>1.7988</v>
      </c>
      <c r="D7" s="7" t="n">
        <v>3597.64</v>
      </c>
      <c r="E7" s="7" t="n">
        <v>6039.6</v>
      </c>
    </row>
    <row r="8">
      <c r="A8" s="4" t="inlineStr">
        <is>
          <t>Defend</t>
        </is>
      </c>
      <c r="B8" s="5" t="n">
        <v>0.2219</v>
      </c>
      <c r="C8" s="6" t="n">
        <v>2.6634</v>
      </c>
      <c r="D8" s="7" t="n">
        <v>5326.77</v>
      </c>
      <c r="E8" s="7" t="n">
        <v>7821.7</v>
      </c>
    </row>
    <row r="10">
      <c r="A10" s="2" t="inlineStr">
        <is>
          <t>"Linear" = ingredient cost ignoring minimum orders. "incl. MOQ overbuy" = what you actually spend buying full minimums for ONE run</t>
        </is>
      </c>
    </row>
    <row r="11">
      <c r="A11" s="2" t="inlineStr">
        <is>
          <t>(e.g. color/Talin/CBD have MOQs far above what 2,000 cases needs, so a single run carries leftover stock).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9" customWidth="1" min="2" max="2"/>
    <col width="12" customWidth="1" min="3" max="3"/>
    <col width="11" customWidth="1" min="4" max="4"/>
    <col width="5" customWidth="1" min="5" max="5"/>
    <col width="9" customWidth="1" min="6" max="6"/>
    <col width="14" customWidth="1" min="7" max="7"/>
    <col width="7" customWidth="1" min="8" max="8"/>
    <col width="8" customWidth="1" min="9" max="9"/>
    <col width="5" customWidth="1" min="10" max="10"/>
    <col width="16" customWidth="1" min="11" max="11"/>
    <col width="16" customWidth="1" min="12" max="12"/>
    <col width="12" customWidth="1" min="13" max="13"/>
  </cols>
  <sheetData>
    <row r="1">
      <c r="A1" s="8" t="inlineStr">
        <is>
          <t>INGREDIENT</t>
        </is>
      </c>
      <c r="B1" s="8" t="inlineStr">
        <is>
          <t>TYPE</t>
        </is>
      </c>
      <c r="C1" s="8" t="inlineStr">
        <is>
          <t>RECIPE AMT</t>
        </is>
      </c>
      <c r="D1" s="8" t="inlineStr">
        <is>
          <t>RECIPE UNIT</t>
        </is>
      </c>
      <c r="E1" s="8" t="inlineStr">
        <is>
          <t>SG</t>
        </is>
      </c>
      <c r="F1" s="8" t="inlineStr">
        <is>
          <t>BUY UNIT</t>
        </is>
      </c>
      <c r="G1" s="8" t="inlineStr">
        <is>
          <t>PRICE/BUY UNIT</t>
        </is>
      </c>
      <c r="H1" s="8" t="inlineStr">
        <is>
          <t>MOQ</t>
        </is>
      </c>
      <c r="I1" s="8" t="inlineStr">
        <is>
          <t>ON HAND</t>
        </is>
      </c>
      <c r="K1" s="9" t="inlineStr">
        <is>
          <t>NEED /2000 cases (+5% loss)</t>
        </is>
      </c>
      <c r="L1" s="9" t="inlineStr">
        <is>
          <t>BUY QTY (MOQ-adj)</t>
        </is>
      </c>
      <c r="M1" s="9" t="inlineStr">
        <is>
          <t>LINE COST $</t>
        </is>
      </c>
    </row>
    <row r="2">
      <c r="A2" s="4" t="inlineStr">
        <is>
          <t>Treated Water (RO)</t>
        </is>
      </c>
      <c r="B2" s="10" t="inlineStr">
        <is>
          <t>Liquid</t>
        </is>
      </c>
      <c r="C2" s="10" t="n">
        <v>98</v>
      </c>
      <c r="D2" s="10" t="inlineStr">
        <is>
          <t>gal</t>
        </is>
      </c>
      <c r="E2" s="10" t="n">
        <v>1</v>
      </c>
      <c r="F2" s="10" t="inlineStr">
        <is>
          <t>gal</t>
        </is>
      </c>
      <c r="G2" s="10" t="n">
        <v>0.1</v>
      </c>
      <c r="H2" s="10" t="n">
        <v>1</v>
      </c>
      <c r="I2" s="10" t="n">
        <v>0</v>
      </c>
      <c r="J2" s="11" t="inlineStr"/>
      <c r="K2" s="10" t="n">
        <v>1630.9982</v>
      </c>
      <c r="L2" s="10" t="n">
        <v>1631</v>
      </c>
      <c r="M2" s="12" t="n">
        <v>163.1</v>
      </c>
    </row>
    <row r="3">
      <c r="A3" s="4" t="inlineStr">
        <is>
          <t>Potassium Benzoate</t>
        </is>
      </c>
      <c r="B3" s="10" t="inlineStr">
        <is>
          <t>Liquid</t>
        </is>
      </c>
      <c r="C3" s="10" t="n">
        <v>0.1136</v>
      </c>
      <c r="D3" s="10" t="inlineStr">
        <is>
          <t>kg</t>
        </is>
      </c>
      <c r="E3" s="10" t="n">
        <v>1</v>
      </c>
      <c r="F3" s="10" t="inlineStr">
        <is>
          <t>kg</t>
        </is>
      </c>
      <c r="G3" s="10" t="n">
        <v>4.82</v>
      </c>
      <c r="H3" s="10" t="n">
        <v>55</v>
      </c>
      <c r="I3" s="10" t="n">
        <v>0</v>
      </c>
      <c r="J3" s="11" t="inlineStr"/>
      <c r="K3" s="10" t="n">
        <v>1.89</v>
      </c>
      <c r="L3" s="10" t="n">
        <v>55</v>
      </c>
      <c r="M3" s="12" t="n">
        <v>265.1</v>
      </c>
    </row>
    <row r="4">
      <c r="A4" s="4" t="inlineStr">
        <is>
          <t>Potassium Sorbate</t>
        </is>
      </c>
      <c r="B4" s="10" t="inlineStr">
        <is>
          <t>Liquid</t>
        </is>
      </c>
      <c r="C4" s="10" t="n">
        <v>0.1136</v>
      </c>
      <c r="D4" s="10" t="inlineStr">
        <is>
          <t>kg</t>
        </is>
      </c>
      <c r="E4" s="10" t="n">
        <v>1</v>
      </c>
      <c r="F4" s="10" t="inlineStr">
        <is>
          <t>kg</t>
        </is>
      </c>
      <c r="G4" s="10" t="n">
        <v>2.86</v>
      </c>
      <c r="H4" s="10" t="n">
        <v>55</v>
      </c>
      <c r="I4" s="10" t="n">
        <v>0</v>
      </c>
      <c r="J4" s="11" t="inlineStr"/>
      <c r="K4" s="10" t="n">
        <v>1.89</v>
      </c>
      <c r="L4" s="10" t="n">
        <v>55</v>
      </c>
      <c r="M4" s="12" t="n">
        <v>157.3</v>
      </c>
    </row>
    <row r="5">
      <c r="A5" s="4" t="inlineStr">
        <is>
          <t>GNT USA Grape Blue Shade 183922</t>
        </is>
      </c>
      <c r="B5" s="10" t="inlineStr">
        <is>
          <t>Liquid</t>
        </is>
      </c>
      <c r="C5" s="10" t="n">
        <v>0.1908</v>
      </c>
      <c r="D5" s="10" t="inlineStr">
        <is>
          <t>kg</t>
        </is>
      </c>
      <c r="E5" s="10" t="n">
        <v>1</v>
      </c>
      <c r="F5" s="10" t="inlineStr">
        <is>
          <t>kg</t>
        </is>
      </c>
      <c r="G5" s="13" t="n">
        <v>55</v>
      </c>
      <c r="H5" s="10" t="n">
        <v>25</v>
      </c>
      <c r="I5" s="10" t="n">
        <v>0</v>
      </c>
      <c r="J5" s="11" t="inlineStr"/>
      <c r="K5" s="10" t="n">
        <v>3.1752</v>
      </c>
      <c r="L5" s="10" t="n">
        <v>25</v>
      </c>
      <c r="M5" s="12" t="n">
        <v>1375</v>
      </c>
    </row>
    <row r="6">
      <c r="A6" s="4" t="inlineStr">
        <is>
          <t>CBD Hydrobond 685449</t>
        </is>
      </c>
      <c r="B6" s="10" t="inlineStr">
        <is>
          <t>Liquid</t>
        </is>
      </c>
      <c r="C6" s="10" t="n">
        <v>0.0757</v>
      </c>
      <c r="D6" s="10" t="inlineStr">
        <is>
          <t>kg</t>
        </is>
      </c>
      <c r="E6" s="10" t="n">
        <v>1</v>
      </c>
      <c r="F6" s="10" t="inlineStr">
        <is>
          <t>kg</t>
        </is>
      </c>
      <c r="G6" s="13" t="n">
        <v>300</v>
      </c>
      <c r="H6" s="10" t="n">
        <v>1</v>
      </c>
      <c r="I6" s="10" t="n">
        <v>0</v>
      </c>
      <c r="J6" s="11" t="inlineStr"/>
      <c r="K6" s="10" t="n">
        <v>1.26</v>
      </c>
      <c r="L6" s="10" t="n">
        <v>2</v>
      </c>
      <c r="M6" s="12" t="n">
        <v>600</v>
      </c>
    </row>
    <row r="7">
      <c r="A7" s="4" t="inlineStr">
        <is>
          <t>Bossen Lychee Conc. Syrup 535SYPLYCH-SM</t>
        </is>
      </c>
      <c r="B7" s="10" t="inlineStr">
        <is>
          <t>Liquid</t>
        </is>
      </c>
      <c r="C7" s="10" t="n">
        <v>4.1727</v>
      </c>
      <c r="D7" s="10" t="inlineStr">
        <is>
          <t>lbs</t>
        </is>
      </c>
      <c r="E7" s="10" t="n">
        <v>1</v>
      </c>
      <c r="F7" s="10" t="inlineStr">
        <is>
          <t>lbs</t>
        </is>
      </c>
      <c r="G7" s="10" t="n">
        <v>15.45</v>
      </c>
      <c r="H7" s="10" t="n">
        <v>5.5</v>
      </c>
      <c r="I7" s="10" t="n">
        <v>0</v>
      </c>
      <c r="J7" s="11" t="inlineStr"/>
      <c r="K7" s="10" t="n">
        <v>69.4457</v>
      </c>
      <c r="L7" s="10" t="n">
        <v>71.5</v>
      </c>
      <c r="M7" s="12" t="n">
        <v>1104.67</v>
      </c>
    </row>
    <row r="8">
      <c r="A8" s="4" t="inlineStr">
        <is>
          <t>Talin PG95 T0001 (Naturex)</t>
        </is>
      </c>
      <c r="B8" s="10" t="inlineStr">
        <is>
          <t>Liquid</t>
        </is>
      </c>
      <c r="C8" s="10" t="n">
        <v>0.53</v>
      </c>
      <c r="D8" s="10" t="inlineStr">
        <is>
          <t>kg</t>
        </is>
      </c>
      <c r="E8" s="10" t="n">
        <v>1</v>
      </c>
      <c r="F8" s="10" t="inlineStr">
        <is>
          <t>kg</t>
        </is>
      </c>
      <c r="G8" s="13" t="n">
        <v>200</v>
      </c>
      <c r="H8" s="10" t="n">
        <v>1</v>
      </c>
      <c r="I8" s="10" t="n">
        <v>0</v>
      </c>
      <c r="J8" s="11" t="inlineStr"/>
      <c r="K8" s="10" t="n">
        <v>8.82</v>
      </c>
      <c r="L8" s="10" t="n">
        <v>9</v>
      </c>
      <c r="M8" s="12" t="n">
        <v>1800</v>
      </c>
    </row>
    <row r="9">
      <c r="A9" s="4" t="inlineStr">
        <is>
          <t>Crystalline Fructose</t>
        </is>
      </c>
      <c r="B9" s="10" t="inlineStr">
        <is>
          <t>Liquid</t>
        </is>
      </c>
      <c r="C9" s="10" t="n">
        <v>3.3382</v>
      </c>
      <c r="D9" s="10" t="inlineStr">
        <is>
          <t>lbs</t>
        </is>
      </c>
      <c r="E9" s="10" t="n">
        <v>1</v>
      </c>
      <c r="F9" s="10" t="inlineStr">
        <is>
          <t>lbs</t>
        </is>
      </c>
      <c r="G9" s="13" t="n">
        <v>1.2</v>
      </c>
      <c r="H9" s="10" t="n">
        <v>50</v>
      </c>
      <c r="I9" s="10" t="n">
        <v>0</v>
      </c>
      <c r="J9" s="11" t="inlineStr"/>
      <c r="K9" s="10" t="n">
        <v>55.5565</v>
      </c>
      <c r="L9" s="10" t="n">
        <v>100</v>
      </c>
      <c r="M9" s="12" t="n">
        <v>120</v>
      </c>
    </row>
    <row r="10">
      <c r="A10" s="4" t="inlineStr">
        <is>
          <t>Citric Acid</t>
        </is>
      </c>
      <c r="B10" s="10" t="inlineStr">
        <is>
          <t>Liquid</t>
        </is>
      </c>
      <c r="C10" s="10" t="n">
        <v>0.7678</v>
      </c>
      <c r="D10" s="10" t="inlineStr">
        <is>
          <t>lbs</t>
        </is>
      </c>
      <c r="E10" s="10" t="n">
        <v>1</v>
      </c>
      <c r="F10" s="10" t="inlineStr">
        <is>
          <t>lbs</t>
        </is>
      </c>
      <c r="G10" s="10" t="n">
        <v>1.52</v>
      </c>
      <c r="H10" s="10" t="n">
        <v>50</v>
      </c>
      <c r="I10" s="10" t="n">
        <v>0</v>
      </c>
      <c r="J10" s="11" t="inlineStr"/>
      <c r="K10" s="10" t="n">
        <v>12.778</v>
      </c>
      <c r="L10" s="10" t="n">
        <v>50</v>
      </c>
      <c r="M10" s="12" t="n">
        <v>76</v>
      </c>
    </row>
    <row r="11">
      <c r="A11" s="4" t="inlineStr">
        <is>
          <t>Ultra Masking Nat 380223 (Gold Coast)</t>
        </is>
      </c>
      <c r="B11" s="10" t="inlineStr">
        <is>
          <t>Liquid</t>
        </is>
      </c>
      <c r="C11" s="10" t="n">
        <v>0.152</v>
      </c>
      <c r="D11" s="10" t="inlineStr">
        <is>
          <t>gal</t>
        </is>
      </c>
      <c r="E11" s="10" t="n">
        <v>1</v>
      </c>
      <c r="F11" s="10" t="inlineStr">
        <is>
          <t>gal</t>
        </is>
      </c>
      <c r="G11" s="10" t="n">
        <v>70</v>
      </c>
      <c r="H11" s="10" t="n">
        <v>1</v>
      </c>
      <c r="I11" s="10" t="n">
        <v>0</v>
      </c>
      <c r="J11" s="11" t="inlineStr"/>
      <c r="K11" s="10" t="n">
        <v>2.5297</v>
      </c>
      <c r="L11" s="10" t="n">
        <v>3</v>
      </c>
      <c r="M11" s="12" t="n">
        <v>210</v>
      </c>
    </row>
    <row r="12">
      <c r="A12" s="4" t="inlineStr">
        <is>
          <t>Natural Lychee 348692 (Gold Coast)</t>
        </is>
      </c>
      <c r="B12" s="10" t="inlineStr">
        <is>
          <t>Liquid</t>
        </is>
      </c>
      <c r="C12" s="10" t="n">
        <v>0.22</v>
      </c>
      <c r="D12" s="10" t="inlineStr">
        <is>
          <t>gal</t>
        </is>
      </c>
      <c r="E12" s="10" t="n">
        <v>1</v>
      </c>
      <c r="F12" s="10" t="inlineStr">
        <is>
          <t>gal</t>
        </is>
      </c>
      <c r="G12" s="10" t="n">
        <v>70</v>
      </c>
      <c r="H12" s="10" t="n">
        <v>1</v>
      </c>
      <c r="I12" s="10" t="n">
        <v>0</v>
      </c>
      <c r="J12" s="11" t="inlineStr"/>
      <c r="K12" s="10" t="n">
        <v>3.6614</v>
      </c>
      <c r="L12" s="10" t="n">
        <v>4</v>
      </c>
      <c r="M12" s="12" t="n">
        <v>280</v>
      </c>
    </row>
    <row r="13">
      <c r="A13" s="4" t="inlineStr">
        <is>
          <t>Organic Lemon 601032 (Gold Coast)</t>
        </is>
      </c>
      <c r="B13" s="10" t="inlineStr">
        <is>
          <t>Liquid</t>
        </is>
      </c>
      <c r="C13" s="10" t="n">
        <v>0.06</v>
      </c>
      <c r="D13" s="10" t="inlineStr">
        <is>
          <t>gal</t>
        </is>
      </c>
      <c r="E13" s="10" t="n">
        <v>1</v>
      </c>
      <c r="F13" s="10" t="inlineStr">
        <is>
          <t>gal</t>
        </is>
      </c>
      <c r="G13" s="10" t="n">
        <v>70</v>
      </c>
      <c r="H13" s="10" t="n">
        <v>1</v>
      </c>
      <c r="I13" s="10" t="n">
        <v>0</v>
      </c>
      <c r="J13" s="11" t="inlineStr"/>
      <c r="K13" s="10" t="n">
        <v>0.9986</v>
      </c>
      <c r="L13" s="10" t="n">
        <v>1</v>
      </c>
      <c r="M13" s="12" t="n">
        <v>70</v>
      </c>
    </row>
    <row r="14">
      <c r="A14" s="4" t="inlineStr">
        <is>
          <t>Pink Grapefruit 606817 (Gold Coast)</t>
        </is>
      </c>
      <c r="B14" s="10" t="inlineStr">
        <is>
          <t>Liquid</t>
        </is>
      </c>
      <c r="C14" s="10" t="n">
        <v>0.192</v>
      </c>
      <c r="D14" s="10" t="inlineStr">
        <is>
          <t>gal</t>
        </is>
      </c>
      <c r="E14" s="10" t="n">
        <v>1</v>
      </c>
      <c r="F14" s="10" t="inlineStr">
        <is>
          <t>gal</t>
        </is>
      </c>
      <c r="G14" s="10" t="n">
        <v>70</v>
      </c>
      <c r="H14" s="10" t="n">
        <v>1</v>
      </c>
      <c r="I14" s="10" t="n">
        <v>0</v>
      </c>
      <c r="J14" s="11" t="inlineStr"/>
      <c r="K14" s="10" t="n">
        <v>3.1954</v>
      </c>
      <c r="L14" s="10" t="n">
        <v>4</v>
      </c>
      <c r="M14" s="12" t="n">
        <v>280</v>
      </c>
    </row>
    <row r="15">
      <c r="A15" s="4" t="inlineStr">
        <is>
          <t>Signature Beverage Enhancer (Blue Pacific)</t>
        </is>
      </c>
      <c r="B15" s="10" t="inlineStr">
        <is>
          <t>Liquid</t>
        </is>
      </c>
      <c r="C15" s="10" t="n">
        <v>0.2671</v>
      </c>
      <c r="D15" s="10" t="inlineStr">
        <is>
          <t>lbs</t>
        </is>
      </c>
      <c r="E15" s="10" t="n">
        <v>1</v>
      </c>
      <c r="F15" s="10" t="inlineStr">
        <is>
          <t>lbs</t>
        </is>
      </c>
      <c r="G15" s="13" t="n">
        <v>34</v>
      </c>
      <c r="H15" s="10" t="n">
        <v>1</v>
      </c>
      <c r="I15" s="10" t="n">
        <v>0</v>
      </c>
      <c r="J15" s="11" t="inlineStr"/>
      <c r="K15" s="10" t="n">
        <v>4.4445</v>
      </c>
      <c r="L15" s="10" t="n">
        <v>5</v>
      </c>
      <c r="M15" s="12" t="n">
        <v>170</v>
      </c>
    </row>
    <row r="16">
      <c r="J16" s="14" t="inlineStr">
        <is>
          <t>TOTALS</t>
        </is>
      </c>
      <c r="K16" s="15" t="n"/>
      <c r="L16" s="15" t="n"/>
      <c r="M16" s="16">
        <f>SUM(M2:M15)</f>
        <v/>
      </c>
    </row>
  </sheetData>
  <dataValidations count="3">
    <dataValidation sqref="B2:B15" showDropDown="0" showInputMessage="0" showErrorMessage="0" allowBlank="1" type="list">
      <formula1>"Liquid,Dry"</formula1>
    </dataValidation>
    <dataValidation sqref="D2:D15" showDropDown="0" showInputMessage="0" showErrorMessage="0" allowBlank="1" type="list">
      <formula1>"mg,g,kg,oz,lbs,mL,L,gal"</formula1>
    </dataValidation>
    <dataValidation sqref="F2:F15" showDropDown="0" showInputMessage="0" showErrorMessage="0" allowBlank="1" type="list">
      <formula1>"g,kg,oz,lbs,mL,L,gal"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9" customWidth="1" min="2" max="2"/>
    <col width="12" customWidth="1" min="3" max="3"/>
    <col width="11" customWidth="1" min="4" max="4"/>
    <col width="5" customWidth="1" min="5" max="5"/>
    <col width="9" customWidth="1" min="6" max="6"/>
    <col width="14" customWidth="1" min="7" max="7"/>
    <col width="7" customWidth="1" min="8" max="8"/>
    <col width="8" customWidth="1" min="9" max="9"/>
    <col width="5" customWidth="1" min="10" max="10"/>
    <col width="16" customWidth="1" min="11" max="11"/>
    <col width="16" customWidth="1" min="12" max="12"/>
    <col width="12" customWidth="1" min="13" max="13"/>
  </cols>
  <sheetData>
    <row r="1">
      <c r="A1" s="8" t="inlineStr">
        <is>
          <t>INGREDIENT</t>
        </is>
      </c>
      <c r="B1" s="8" t="inlineStr">
        <is>
          <t>TYPE</t>
        </is>
      </c>
      <c r="C1" s="8" t="inlineStr">
        <is>
          <t>RECIPE AMT</t>
        </is>
      </c>
      <c r="D1" s="8" t="inlineStr">
        <is>
          <t>RECIPE UNIT</t>
        </is>
      </c>
      <c r="E1" s="8" t="inlineStr">
        <is>
          <t>SG</t>
        </is>
      </c>
      <c r="F1" s="8" t="inlineStr">
        <is>
          <t>BUY UNIT</t>
        </is>
      </c>
      <c r="G1" s="8" t="inlineStr">
        <is>
          <t>PRICE/BUY UNIT</t>
        </is>
      </c>
      <c r="H1" s="8" t="inlineStr">
        <is>
          <t>MOQ</t>
        </is>
      </c>
      <c r="I1" s="8" t="inlineStr">
        <is>
          <t>ON HAND</t>
        </is>
      </c>
      <c r="K1" s="9" t="inlineStr">
        <is>
          <t>NEED /2000 cases (+5% loss)</t>
        </is>
      </c>
      <c r="L1" s="9" t="inlineStr">
        <is>
          <t>BUY QTY (MOQ-adj)</t>
        </is>
      </c>
      <c r="M1" s="9" t="inlineStr">
        <is>
          <t>LINE COST $</t>
        </is>
      </c>
    </row>
    <row r="2">
      <c r="A2" s="4" t="inlineStr">
        <is>
          <t>Treated Water (RO)</t>
        </is>
      </c>
      <c r="B2" s="10" t="inlineStr">
        <is>
          <t>Liquid</t>
        </is>
      </c>
      <c r="C2" s="10" t="n">
        <v>90.88</v>
      </c>
      <c r="D2" s="10" t="inlineStr">
        <is>
          <t>gal</t>
        </is>
      </c>
      <c r="E2" s="10" t="n">
        <v>1</v>
      </c>
      <c r="F2" s="10" t="inlineStr">
        <is>
          <t>gal</t>
        </is>
      </c>
      <c r="G2" s="10" t="n">
        <v>0.1</v>
      </c>
      <c r="H2" s="10" t="n">
        <v>1</v>
      </c>
      <c r="I2" s="10" t="n">
        <v>0</v>
      </c>
      <c r="J2" s="11" t="inlineStr"/>
      <c r="K2" s="10" t="n">
        <v>1512.5011</v>
      </c>
      <c r="L2" s="10" t="n">
        <v>1513</v>
      </c>
      <c r="M2" s="12" t="n">
        <v>151.3</v>
      </c>
    </row>
    <row r="3">
      <c r="A3" s="4" t="inlineStr">
        <is>
          <t>Chamomile Hydrosol (DOFON)</t>
        </is>
      </c>
      <c r="B3" s="10" t="inlineStr">
        <is>
          <t>Liquid</t>
        </is>
      </c>
      <c r="C3" s="10" t="n">
        <v>6.72</v>
      </c>
      <c r="D3" s="10" t="inlineStr">
        <is>
          <t>gal</t>
        </is>
      </c>
      <c r="E3" s="10" t="n">
        <v>1</v>
      </c>
      <c r="F3" s="10" t="inlineStr">
        <is>
          <t>gal</t>
        </is>
      </c>
      <c r="G3" s="13" t="n">
        <v>50</v>
      </c>
      <c r="H3" s="10" t="n">
        <v>5</v>
      </c>
      <c r="I3" s="10" t="n">
        <v>0</v>
      </c>
      <c r="J3" s="11" t="inlineStr"/>
      <c r="K3" s="10" t="n">
        <v>111.8399</v>
      </c>
      <c r="L3" s="10" t="n">
        <v>115</v>
      </c>
      <c r="M3" s="12" t="n">
        <v>5750</v>
      </c>
    </row>
    <row r="4">
      <c r="A4" s="4" t="inlineStr">
        <is>
          <t>Potassium Benzoate</t>
        </is>
      </c>
      <c r="B4" s="10" t="inlineStr">
        <is>
          <t>Liquid</t>
        </is>
      </c>
      <c r="C4" s="10" t="n">
        <v>0.1136</v>
      </c>
      <c r="D4" s="10" t="inlineStr">
        <is>
          <t>kg</t>
        </is>
      </c>
      <c r="E4" s="10" t="n">
        <v>1</v>
      </c>
      <c r="F4" s="10" t="inlineStr">
        <is>
          <t>kg</t>
        </is>
      </c>
      <c r="G4" s="10" t="n">
        <v>4.82</v>
      </c>
      <c r="H4" s="10" t="n">
        <v>55</v>
      </c>
      <c r="I4" s="10" t="n">
        <v>0</v>
      </c>
      <c r="J4" s="11" t="inlineStr"/>
      <c r="K4" s="10" t="n">
        <v>1.89</v>
      </c>
      <c r="L4" s="10" t="n">
        <v>55</v>
      </c>
      <c r="M4" s="12" t="n">
        <v>265.1</v>
      </c>
    </row>
    <row r="5">
      <c r="A5" s="4" t="inlineStr">
        <is>
          <t>Potassium Sorbate</t>
        </is>
      </c>
      <c r="B5" s="10" t="inlineStr">
        <is>
          <t>Liquid</t>
        </is>
      </c>
      <c r="C5" s="10" t="n">
        <v>0.1136</v>
      </c>
      <c r="D5" s="10" t="inlineStr">
        <is>
          <t>kg</t>
        </is>
      </c>
      <c r="E5" s="10" t="n">
        <v>1</v>
      </c>
      <c r="F5" s="10" t="inlineStr">
        <is>
          <t>kg</t>
        </is>
      </c>
      <c r="G5" s="10" t="n">
        <v>2.86</v>
      </c>
      <c r="H5" s="10" t="n">
        <v>55</v>
      </c>
      <c r="I5" s="10" t="n">
        <v>0</v>
      </c>
      <c r="J5" s="11" t="inlineStr"/>
      <c r="K5" s="10" t="n">
        <v>1.89</v>
      </c>
      <c r="L5" s="10" t="n">
        <v>55</v>
      </c>
      <c r="M5" s="12" t="n">
        <v>157.3</v>
      </c>
    </row>
    <row r="6">
      <c r="A6" s="4" t="inlineStr">
        <is>
          <t>GNT USA Grape Blue Shade 183922</t>
        </is>
      </c>
      <c r="B6" s="10" t="inlineStr">
        <is>
          <t>Liquid</t>
        </is>
      </c>
      <c r="C6" s="10" t="n">
        <v>0.3422</v>
      </c>
      <c r="D6" s="10" t="inlineStr">
        <is>
          <t>kg</t>
        </is>
      </c>
      <c r="E6" s="10" t="n">
        <v>1</v>
      </c>
      <c r="F6" s="10" t="inlineStr">
        <is>
          <t>kg</t>
        </is>
      </c>
      <c r="G6" s="13" t="n">
        <v>55</v>
      </c>
      <c r="H6" s="10" t="n">
        <v>25</v>
      </c>
      <c r="I6" s="10" t="n">
        <v>0</v>
      </c>
      <c r="J6" s="11" t="inlineStr"/>
      <c r="K6" s="10" t="n">
        <v>5.6952</v>
      </c>
      <c r="L6" s="10" t="n">
        <v>25</v>
      </c>
      <c r="M6" s="12" t="n">
        <v>1375</v>
      </c>
    </row>
    <row r="7">
      <c r="A7" s="4" t="inlineStr">
        <is>
          <t>CBD Hydrobond 685449</t>
        </is>
      </c>
      <c r="B7" s="10" t="inlineStr">
        <is>
          <t>Liquid</t>
        </is>
      </c>
      <c r="C7" s="10" t="n">
        <v>0.0757</v>
      </c>
      <c r="D7" s="10" t="inlineStr">
        <is>
          <t>kg</t>
        </is>
      </c>
      <c r="E7" s="10" t="n">
        <v>1</v>
      </c>
      <c r="F7" s="10" t="inlineStr">
        <is>
          <t>kg</t>
        </is>
      </c>
      <c r="G7" s="13" t="n">
        <v>300</v>
      </c>
      <c r="H7" s="10" t="n">
        <v>1</v>
      </c>
      <c r="I7" s="10" t="n">
        <v>0</v>
      </c>
      <c r="J7" s="11" t="inlineStr"/>
      <c r="K7" s="10" t="n">
        <v>1.26</v>
      </c>
      <c r="L7" s="10" t="n">
        <v>2</v>
      </c>
      <c r="M7" s="12" t="n">
        <v>600</v>
      </c>
    </row>
    <row r="8">
      <c r="A8" s="4" t="inlineStr">
        <is>
          <t>Talin PG95 T0001 (Naturex)</t>
        </is>
      </c>
      <c r="B8" s="10" t="inlineStr">
        <is>
          <t>Liquid</t>
        </is>
      </c>
      <c r="C8" s="10" t="n">
        <v>0.6814</v>
      </c>
      <c r="D8" s="10" t="inlineStr">
        <is>
          <t>kg</t>
        </is>
      </c>
      <c r="E8" s="10" t="n">
        <v>1</v>
      </c>
      <c r="F8" s="10" t="inlineStr">
        <is>
          <t>kg</t>
        </is>
      </c>
      <c r="G8" s="13" t="n">
        <v>200</v>
      </c>
      <c r="H8" s="10" t="n">
        <v>1</v>
      </c>
      <c r="I8" s="10" t="n">
        <v>0</v>
      </c>
      <c r="J8" s="11" t="inlineStr"/>
      <c r="K8" s="10" t="n">
        <v>11.34</v>
      </c>
      <c r="L8" s="10" t="n">
        <v>12</v>
      </c>
      <c r="M8" s="12" t="n">
        <v>2400</v>
      </c>
    </row>
    <row r="9">
      <c r="A9" s="4" t="inlineStr">
        <is>
          <t>Crystalline Fructose</t>
        </is>
      </c>
      <c r="B9" s="10" t="inlineStr">
        <is>
          <t>Liquid</t>
        </is>
      </c>
      <c r="C9" s="10" t="n">
        <v>3.3382</v>
      </c>
      <c r="D9" s="10" t="inlineStr">
        <is>
          <t>lbs</t>
        </is>
      </c>
      <c r="E9" s="10" t="n">
        <v>1</v>
      </c>
      <c r="F9" s="10" t="inlineStr">
        <is>
          <t>lbs</t>
        </is>
      </c>
      <c r="G9" s="13" t="n">
        <v>1.2</v>
      </c>
      <c r="H9" s="10" t="n">
        <v>50</v>
      </c>
      <c r="I9" s="10" t="n">
        <v>0</v>
      </c>
      <c r="J9" s="11" t="inlineStr"/>
      <c r="K9" s="10" t="n">
        <v>55.5565</v>
      </c>
      <c r="L9" s="10" t="n">
        <v>100</v>
      </c>
      <c r="M9" s="12" t="n">
        <v>120</v>
      </c>
    </row>
    <row r="10">
      <c r="A10" s="4" t="inlineStr">
        <is>
          <t>Citric Acid</t>
        </is>
      </c>
      <c r="B10" s="10" t="inlineStr">
        <is>
          <t>Liquid</t>
        </is>
      </c>
      <c r="C10" s="10" t="n">
        <v>1.1016</v>
      </c>
      <c r="D10" s="10" t="inlineStr">
        <is>
          <t>lbs</t>
        </is>
      </c>
      <c r="E10" s="10" t="n">
        <v>1</v>
      </c>
      <c r="F10" s="10" t="inlineStr">
        <is>
          <t>lbs</t>
        </is>
      </c>
      <c r="G10" s="10" t="n">
        <v>1.52</v>
      </c>
      <c r="H10" s="10" t="n">
        <v>50</v>
      </c>
      <c r="I10" s="10" t="n">
        <v>0</v>
      </c>
      <c r="J10" s="11" t="inlineStr"/>
      <c r="K10" s="10" t="n">
        <v>18.3337</v>
      </c>
      <c r="L10" s="10" t="n">
        <v>50</v>
      </c>
      <c r="M10" s="12" t="n">
        <v>76</v>
      </c>
    </row>
    <row r="11">
      <c r="A11" s="4" t="inlineStr">
        <is>
          <t>Ultra Masking Nat 380223 (Gold Coast)</t>
        </is>
      </c>
      <c r="B11" s="10" t="inlineStr">
        <is>
          <t>Liquid</t>
        </is>
      </c>
      <c r="C11" s="10" t="n">
        <v>0.152</v>
      </c>
      <c r="D11" s="10" t="inlineStr">
        <is>
          <t>gal</t>
        </is>
      </c>
      <c r="E11" s="10" t="n">
        <v>1</v>
      </c>
      <c r="F11" s="10" t="inlineStr">
        <is>
          <t>gal</t>
        </is>
      </c>
      <c r="G11" s="10" t="n">
        <v>70</v>
      </c>
      <c r="H11" s="10" t="n">
        <v>1</v>
      </c>
      <c r="I11" s="10" t="n">
        <v>0</v>
      </c>
      <c r="J11" s="11" t="inlineStr"/>
      <c r="K11" s="10" t="n">
        <v>2.5297</v>
      </c>
      <c r="L11" s="10" t="n">
        <v>3</v>
      </c>
      <c r="M11" s="12" t="n">
        <v>210</v>
      </c>
    </row>
    <row r="12">
      <c r="A12" s="4" t="inlineStr">
        <is>
          <t>Organic Lemon 601032 (Gold Coast)</t>
        </is>
      </c>
      <c r="B12" s="10" t="inlineStr">
        <is>
          <t>Liquid</t>
        </is>
      </c>
      <c r="C12" s="10" t="n">
        <v>0.092</v>
      </c>
      <c r="D12" s="10" t="inlineStr">
        <is>
          <t>gal</t>
        </is>
      </c>
      <c r="E12" s="10" t="n">
        <v>1</v>
      </c>
      <c r="F12" s="10" t="inlineStr">
        <is>
          <t>gal</t>
        </is>
      </c>
      <c r="G12" s="10" t="n">
        <v>70</v>
      </c>
      <c r="H12" s="10" t="n">
        <v>1</v>
      </c>
      <c r="I12" s="10" t="n">
        <v>0</v>
      </c>
      <c r="J12" s="11" t="inlineStr"/>
      <c r="K12" s="10" t="n">
        <v>1.5311</v>
      </c>
      <c r="L12" s="10" t="n">
        <v>2</v>
      </c>
      <c r="M12" s="12" t="n">
        <v>140</v>
      </c>
    </row>
    <row r="13">
      <c r="A13" s="4" t="inlineStr">
        <is>
          <t>Natural Raspberry Flavor 161443 (Gold Coast)</t>
        </is>
      </c>
      <c r="B13" s="10" t="inlineStr">
        <is>
          <t>Liquid</t>
        </is>
      </c>
      <c r="C13" s="10" t="n">
        <v>0.272</v>
      </c>
      <c r="D13" s="10" t="inlineStr">
        <is>
          <t>gal</t>
        </is>
      </c>
      <c r="E13" s="10" t="n">
        <v>1</v>
      </c>
      <c r="F13" s="10" t="inlineStr">
        <is>
          <t>gal</t>
        </is>
      </c>
      <c r="G13" s="10" t="n">
        <v>70</v>
      </c>
      <c r="H13" s="10" t="n">
        <v>1</v>
      </c>
      <c r="I13" s="10" t="n">
        <v>0</v>
      </c>
      <c r="J13" s="11" t="inlineStr"/>
      <c r="K13" s="10" t="n">
        <v>4.5269</v>
      </c>
      <c r="L13" s="10" t="n">
        <v>5</v>
      </c>
      <c r="M13" s="12" t="n">
        <v>350</v>
      </c>
    </row>
    <row r="14">
      <c r="A14" s="4" t="inlineStr">
        <is>
          <t>Organic Chamomile Flavor 357484 (Gold Coast)</t>
        </is>
      </c>
      <c r="B14" s="10" t="inlineStr">
        <is>
          <t>Liquid</t>
        </is>
      </c>
      <c r="C14" s="10" t="n">
        <v>0.14</v>
      </c>
      <c r="D14" s="10" t="inlineStr">
        <is>
          <t>gal</t>
        </is>
      </c>
      <c r="E14" s="10" t="n">
        <v>1</v>
      </c>
      <c r="F14" s="10" t="inlineStr">
        <is>
          <t>gal</t>
        </is>
      </c>
      <c r="G14" s="10" t="n">
        <v>70</v>
      </c>
      <c r="H14" s="10" t="n">
        <v>1</v>
      </c>
      <c r="I14" s="10" t="n">
        <v>0</v>
      </c>
      <c r="J14" s="11" t="inlineStr"/>
      <c r="K14" s="10" t="n">
        <v>2.33</v>
      </c>
      <c r="L14" s="10" t="n">
        <v>3</v>
      </c>
      <c r="M14" s="12" t="n">
        <v>210</v>
      </c>
    </row>
    <row r="15">
      <c r="A15" s="4" t="inlineStr">
        <is>
          <t>Organic Cranberry Flavor 606856 (Gold Coast)</t>
        </is>
      </c>
      <c r="B15" s="10" t="inlineStr">
        <is>
          <t>Liquid</t>
        </is>
      </c>
      <c r="C15" s="10" t="n">
        <v>0.272</v>
      </c>
      <c r="D15" s="10" t="inlineStr">
        <is>
          <t>gal</t>
        </is>
      </c>
      <c r="E15" s="10" t="n">
        <v>1</v>
      </c>
      <c r="F15" s="10" t="inlineStr">
        <is>
          <t>gal</t>
        </is>
      </c>
      <c r="G15" s="10" t="n">
        <v>70</v>
      </c>
      <c r="H15" s="10" t="n">
        <v>1</v>
      </c>
      <c r="I15" s="10" t="n">
        <v>0</v>
      </c>
      <c r="J15" s="11" t="inlineStr"/>
      <c r="K15" s="10" t="n">
        <v>4.5269</v>
      </c>
      <c r="L15" s="10" t="n">
        <v>5</v>
      </c>
      <c r="M15" s="12" t="n">
        <v>350</v>
      </c>
    </row>
    <row r="16">
      <c r="A16" s="4" t="inlineStr">
        <is>
          <t>Signature Beverage Enhancer (Blue Pacific)</t>
        </is>
      </c>
      <c r="B16" s="10" t="inlineStr">
        <is>
          <t>Liquid</t>
        </is>
      </c>
      <c r="C16" s="10" t="n">
        <v>0.4006</v>
      </c>
      <c r="D16" s="10" t="inlineStr">
        <is>
          <t>lbs</t>
        </is>
      </c>
      <c r="E16" s="10" t="n">
        <v>1</v>
      </c>
      <c r="F16" s="10" t="inlineStr">
        <is>
          <t>lbs</t>
        </is>
      </c>
      <c r="G16" s="13" t="n">
        <v>34</v>
      </c>
      <c r="H16" s="10" t="n">
        <v>1</v>
      </c>
      <c r="I16" s="10" t="n">
        <v>0</v>
      </c>
      <c r="J16" s="11" t="inlineStr"/>
      <c r="K16" s="10" t="n">
        <v>6.6668</v>
      </c>
      <c r="L16" s="10" t="n">
        <v>7</v>
      </c>
      <c r="M16" s="12" t="n">
        <v>238</v>
      </c>
    </row>
    <row r="17">
      <c r="J17" s="14" t="inlineStr">
        <is>
          <t>TOTALS</t>
        </is>
      </c>
      <c r="K17" s="15" t="n"/>
      <c r="L17" s="15" t="n"/>
      <c r="M17" s="16">
        <f>SUM(M2:M16)</f>
        <v/>
      </c>
    </row>
  </sheetData>
  <dataValidations count="3">
    <dataValidation sqref="B2:B16" showDropDown="0" showInputMessage="0" showErrorMessage="0" allowBlank="1" type="list">
      <formula1>"Liquid,Dry"</formula1>
    </dataValidation>
    <dataValidation sqref="D2:D16" showDropDown="0" showInputMessage="0" showErrorMessage="0" allowBlank="1" type="list">
      <formula1>"mg,g,kg,oz,lbs,mL,L,gal"</formula1>
    </dataValidation>
    <dataValidation sqref="F2:F16" showDropDown="0" showInputMessage="0" showErrorMessage="0" allowBlank="1" type="list">
      <formula1>"g,kg,oz,lbs,mL,L,gal"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9" customWidth="1" min="2" max="2"/>
    <col width="12" customWidth="1" min="3" max="3"/>
    <col width="11" customWidth="1" min="4" max="4"/>
    <col width="5" customWidth="1" min="5" max="5"/>
    <col width="9" customWidth="1" min="6" max="6"/>
    <col width="14" customWidth="1" min="7" max="7"/>
    <col width="7" customWidth="1" min="8" max="8"/>
    <col width="8" customWidth="1" min="9" max="9"/>
    <col width="5" customWidth="1" min="10" max="10"/>
    <col width="16" customWidth="1" min="11" max="11"/>
    <col width="16" customWidth="1" min="12" max="12"/>
    <col width="12" customWidth="1" min="13" max="13"/>
  </cols>
  <sheetData>
    <row r="1">
      <c r="A1" s="8" t="inlineStr">
        <is>
          <t>INGREDIENT</t>
        </is>
      </c>
      <c r="B1" s="8" t="inlineStr">
        <is>
          <t>TYPE</t>
        </is>
      </c>
      <c r="C1" s="8" t="inlineStr">
        <is>
          <t>RECIPE AMT</t>
        </is>
      </c>
      <c r="D1" s="8" t="inlineStr">
        <is>
          <t>RECIPE UNIT</t>
        </is>
      </c>
      <c r="E1" s="8" t="inlineStr">
        <is>
          <t>SG</t>
        </is>
      </c>
      <c r="F1" s="8" t="inlineStr">
        <is>
          <t>BUY UNIT</t>
        </is>
      </c>
      <c r="G1" s="8" t="inlineStr">
        <is>
          <t>PRICE/BUY UNIT</t>
        </is>
      </c>
      <c r="H1" s="8" t="inlineStr">
        <is>
          <t>MOQ</t>
        </is>
      </c>
      <c r="I1" s="8" t="inlineStr">
        <is>
          <t>ON HAND</t>
        </is>
      </c>
      <c r="K1" s="9" t="inlineStr">
        <is>
          <t>NEED /2000 cases (+5% loss)</t>
        </is>
      </c>
      <c r="L1" s="9" t="inlineStr">
        <is>
          <t>BUY QTY (MOQ-adj)</t>
        </is>
      </c>
      <c r="M1" s="9" t="inlineStr">
        <is>
          <t>LINE COST $</t>
        </is>
      </c>
    </row>
    <row r="2">
      <c r="A2" s="4" t="inlineStr">
        <is>
          <t>Treated Water (RO)</t>
        </is>
      </c>
      <c r="B2" s="10" t="inlineStr">
        <is>
          <t>Liquid</t>
        </is>
      </c>
      <c r="C2" s="10" t="n">
        <v>96.8</v>
      </c>
      <c r="D2" s="10" t="inlineStr">
        <is>
          <t>gal</t>
        </is>
      </c>
      <c r="E2" s="10" t="n">
        <v>1</v>
      </c>
      <c r="F2" s="10" t="inlineStr">
        <is>
          <t>gal</t>
        </is>
      </c>
      <c r="G2" s="10" t="n">
        <v>0.1</v>
      </c>
      <c r="H2" s="10" t="n">
        <v>1</v>
      </c>
      <c r="I2" s="10" t="n">
        <v>0</v>
      </c>
      <c r="J2" s="11" t="inlineStr"/>
      <c r="K2" s="10" t="n">
        <v>1611.0268</v>
      </c>
      <c r="L2" s="10" t="n">
        <v>1612</v>
      </c>
      <c r="M2" s="12" t="n">
        <v>161.2</v>
      </c>
    </row>
    <row r="3">
      <c r="A3" s="4" t="inlineStr">
        <is>
          <t>Potassium Benzoate</t>
        </is>
      </c>
      <c r="B3" s="10" t="inlineStr">
        <is>
          <t>Liquid</t>
        </is>
      </c>
      <c r="C3" s="10" t="n">
        <v>0.1136</v>
      </c>
      <c r="D3" s="10" t="inlineStr">
        <is>
          <t>kg</t>
        </is>
      </c>
      <c r="E3" s="10" t="n">
        <v>1</v>
      </c>
      <c r="F3" s="10" t="inlineStr">
        <is>
          <t>kg</t>
        </is>
      </c>
      <c r="G3" s="10" t="n">
        <v>4.82</v>
      </c>
      <c r="H3" s="10" t="n">
        <v>55</v>
      </c>
      <c r="I3" s="10" t="n">
        <v>0</v>
      </c>
      <c r="J3" s="11" t="inlineStr"/>
      <c r="K3" s="10" t="n">
        <v>1.89</v>
      </c>
      <c r="L3" s="10" t="n">
        <v>55</v>
      </c>
      <c r="M3" s="12" t="n">
        <v>265.1</v>
      </c>
    </row>
    <row r="4">
      <c r="A4" s="4" t="inlineStr">
        <is>
          <t>Potassium Sorbate</t>
        </is>
      </c>
      <c r="B4" s="10" t="inlineStr">
        <is>
          <t>Liquid</t>
        </is>
      </c>
      <c r="C4" s="10" t="n">
        <v>0.1136</v>
      </c>
      <c r="D4" s="10" t="inlineStr">
        <is>
          <t>kg</t>
        </is>
      </c>
      <c r="E4" s="10" t="n">
        <v>1</v>
      </c>
      <c r="F4" s="10" t="inlineStr">
        <is>
          <t>kg</t>
        </is>
      </c>
      <c r="G4" s="10" t="n">
        <v>2.86</v>
      </c>
      <c r="H4" s="10" t="n">
        <v>55</v>
      </c>
      <c r="I4" s="10" t="n">
        <v>0</v>
      </c>
      <c r="J4" s="11" t="inlineStr"/>
      <c r="K4" s="10" t="n">
        <v>1.89</v>
      </c>
      <c r="L4" s="10" t="n">
        <v>55</v>
      </c>
      <c r="M4" s="12" t="n">
        <v>157.3</v>
      </c>
    </row>
    <row r="5">
      <c r="A5" s="4" t="inlineStr">
        <is>
          <t>Sodium Copper Chlorophyllin CVA101808 (Naturex)</t>
        </is>
      </c>
      <c r="B5" s="10" t="inlineStr">
        <is>
          <t>Liquid</t>
        </is>
      </c>
      <c r="C5" s="10" t="n">
        <v>0.1908</v>
      </c>
      <c r="D5" s="10" t="inlineStr">
        <is>
          <t>kg</t>
        </is>
      </c>
      <c r="E5" s="10" t="n">
        <v>1</v>
      </c>
      <c r="F5" s="10" t="inlineStr">
        <is>
          <t>kg</t>
        </is>
      </c>
      <c r="G5" s="13" t="n">
        <v>60</v>
      </c>
      <c r="H5" s="10" t="n">
        <v>25</v>
      </c>
      <c r="I5" s="10" t="n">
        <v>0</v>
      </c>
      <c r="J5" s="11" t="inlineStr"/>
      <c r="K5" s="10" t="n">
        <v>3.1752</v>
      </c>
      <c r="L5" s="10" t="n">
        <v>25</v>
      </c>
      <c r="M5" s="12" t="n">
        <v>1500</v>
      </c>
    </row>
    <row r="6">
      <c r="A6" s="4" t="inlineStr">
        <is>
          <t>CBD Hydrobond 685449</t>
        </is>
      </c>
      <c r="B6" s="10" t="inlineStr">
        <is>
          <t>Liquid</t>
        </is>
      </c>
      <c r="C6" s="10" t="n">
        <v>0.0757</v>
      </c>
      <c r="D6" s="10" t="inlineStr">
        <is>
          <t>kg</t>
        </is>
      </c>
      <c r="E6" s="10" t="n">
        <v>1</v>
      </c>
      <c r="F6" s="10" t="inlineStr">
        <is>
          <t>kg</t>
        </is>
      </c>
      <c r="G6" s="13" t="n">
        <v>300</v>
      </c>
      <c r="H6" s="10" t="n">
        <v>1</v>
      </c>
      <c r="I6" s="10" t="n">
        <v>0</v>
      </c>
      <c r="J6" s="11" t="inlineStr"/>
      <c r="K6" s="10" t="n">
        <v>1.26</v>
      </c>
      <c r="L6" s="10" t="n">
        <v>2</v>
      </c>
      <c r="M6" s="12" t="n">
        <v>600</v>
      </c>
    </row>
    <row r="7">
      <c r="A7" s="4" t="inlineStr">
        <is>
          <t>Talin PG95 T0001 (Naturex)</t>
        </is>
      </c>
      <c r="B7" s="10" t="inlineStr">
        <is>
          <t>Liquid</t>
        </is>
      </c>
      <c r="C7" s="10" t="n">
        <v>0.53</v>
      </c>
      <c r="D7" s="10" t="inlineStr">
        <is>
          <t>kg</t>
        </is>
      </c>
      <c r="E7" s="10" t="n">
        <v>1</v>
      </c>
      <c r="F7" s="10" t="inlineStr">
        <is>
          <t>kg</t>
        </is>
      </c>
      <c r="G7" s="13" t="n">
        <v>200</v>
      </c>
      <c r="H7" s="10" t="n">
        <v>1</v>
      </c>
      <c r="I7" s="10" t="n">
        <v>0</v>
      </c>
      <c r="J7" s="11" t="inlineStr"/>
      <c r="K7" s="10" t="n">
        <v>8.82</v>
      </c>
      <c r="L7" s="10" t="n">
        <v>9</v>
      </c>
      <c r="M7" s="12" t="n">
        <v>1800</v>
      </c>
    </row>
    <row r="8">
      <c r="A8" s="4" t="inlineStr">
        <is>
          <t>Crystalline Fructose</t>
        </is>
      </c>
      <c r="B8" s="10" t="inlineStr">
        <is>
          <t>Liquid</t>
        </is>
      </c>
      <c r="C8" s="10" t="n">
        <v>3.3382</v>
      </c>
      <c r="D8" s="10" t="inlineStr">
        <is>
          <t>lbs</t>
        </is>
      </c>
      <c r="E8" s="10" t="n">
        <v>1</v>
      </c>
      <c r="F8" s="10" t="inlineStr">
        <is>
          <t>lbs</t>
        </is>
      </c>
      <c r="G8" s="13" t="n">
        <v>1.2</v>
      </c>
      <c r="H8" s="10" t="n">
        <v>50</v>
      </c>
      <c r="I8" s="10" t="n">
        <v>0</v>
      </c>
      <c r="J8" s="11" t="inlineStr"/>
      <c r="K8" s="10" t="n">
        <v>55.5565</v>
      </c>
      <c r="L8" s="10" t="n">
        <v>100</v>
      </c>
      <c r="M8" s="12" t="n">
        <v>120</v>
      </c>
    </row>
    <row r="9">
      <c r="A9" s="4" t="inlineStr">
        <is>
          <t>Citric Acid</t>
        </is>
      </c>
      <c r="B9" s="10" t="inlineStr">
        <is>
          <t>Liquid</t>
        </is>
      </c>
      <c r="C9" s="10" t="n">
        <v>0.7678</v>
      </c>
      <c r="D9" s="10" t="inlineStr">
        <is>
          <t>lbs</t>
        </is>
      </c>
      <c r="E9" s="10" t="n">
        <v>1</v>
      </c>
      <c r="F9" s="10" t="inlineStr">
        <is>
          <t>lbs</t>
        </is>
      </c>
      <c r="G9" s="10" t="n">
        <v>1.52</v>
      </c>
      <c r="H9" s="10" t="n">
        <v>50</v>
      </c>
      <c r="I9" s="10" t="n">
        <v>0</v>
      </c>
      <c r="J9" s="11" t="inlineStr"/>
      <c r="K9" s="10" t="n">
        <v>12.778</v>
      </c>
      <c r="L9" s="10" t="n">
        <v>50</v>
      </c>
      <c r="M9" s="12" t="n">
        <v>76</v>
      </c>
    </row>
    <row r="10">
      <c r="A10" s="4" t="inlineStr">
        <is>
          <t>Ultra Masking Nat 380223 (Gold Coast)</t>
        </is>
      </c>
      <c r="B10" s="10" t="inlineStr">
        <is>
          <t>Liquid</t>
        </is>
      </c>
      <c r="C10" s="10" t="n">
        <v>0.32</v>
      </c>
      <c r="D10" s="10" t="inlineStr">
        <is>
          <t>gal</t>
        </is>
      </c>
      <c r="E10" s="10" t="n">
        <v>1</v>
      </c>
      <c r="F10" s="10" t="inlineStr">
        <is>
          <t>gal</t>
        </is>
      </c>
      <c r="G10" s="10" t="n">
        <v>70</v>
      </c>
      <c r="H10" s="10" t="n">
        <v>1</v>
      </c>
      <c r="I10" s="10" t="n">
        <v>0</v>
      </c>
      <c r="J10" s="11" t="inlineStr"/>
      <c r="K10" s="10" t="n">
        <v>5.3257</v>
      </c>
      <c r="L10" s="10" t="n">
        <v>6</v>
      </c>
      <c r="M10" s="12" t="n">
        <v>420</v>
      </c>
    </row>
    <row r="11">
      <c r="A11" s="4" t="inlineStr">
        <is>
          <t>Organic Cranberry Flavor 606856 (Gold Coast)</t>
        </is>
      </c>
      <c r="B11" s="10" t="inlineStr">
        <is>
          <t>Liquid</t>
        </is>
      </c>
      <c r="C11" s="10" t="n">
        <v>0.24</v>
      </c>
      <c r="D11" s="10" t="inlineStr">
        <is>
          <t>gal</t>
        </is>
      </c>
      <c r="E11" s="10" t="n">
        <v>1</v>
      </c>
      <c r="F11" s="10" t="inlineStr">
        <is>
          <t>gal</t>
        </is>
      </c>
      <c r="G11" s="10" t="n">
        <v>70</v>
      </c>
      <c r="H11" s="10" t="n">
        <v>1</v>
      </c>
      <c r="I11" s="10" t="n">
        <v>0</v>
      </c>
      <c r="J11" s="11" t="inlineStr"/>
      <c r="K11" s="10" t="n">
        <v>3.9943</v>
      </c>
      <c r="L11" s="10" t="n">
        <v>4</v>
      </c>
      <c r="M11" s="12" t="n">
        <v>280</v>
      </c>
    </row>
    <row r="12">
      <c r="A12" s="4" t="inlineStr">
        <is>
          <t>Organic Lime Flavor 309465 (Gold Coast)</t>
        </is>
      </c>
      <c r="B12" s="10" t="inlineStr">
        <is>
          <t>Liquid</t>
        </is>
      </c>
      <c r="C12" s="10" t="n">
        <v>0.038</v>
      </c>
      <c r="D12" s="10" t="inlineStr">
        <is>
          <t>gal</t>
        </is>
      </c>
      <c r="E12" s="10" t="n">
        <v>1</v>
      </c>
      <c r="F12" s="10" t="inlineStr">
        <is>
          <t>gal</t>
        </is>
      </c>
      <c r="G12" s="10" t="n">
        <v>70</v>
      </c>
      <c r="H12" s="10" t="n">
        <v>1</v>
      </c>
      <c r="I12" s="10" t="n">
        <v>0</v>
      </c>
      <c r="J12" s="11" t="inlineStr"/>
      <c r="K12" s="10" t="n">
        <v>0.6324</v>
      </c>
      <c r="L12" s="10" t="n">
        <v>1</v>
      </c>
      <c r="M12" s="12" t="n">
        <v>70</v>
      </c>
    </row>
    <row r="13">
      <c r="A13" s="4" t="inlineStr">
        <is>
          <t>Natural Cucumber Flavor 336018 (Gold Coast)</t>
        </is>
      </c>
      <c r="B13" s="10" t="inlineStr">
        <is>
          <t>Liquid</t>
        </is>
      </c>
      <c r="C13" s="10" t="n">
        <v>0.096</v>
      </c>
      <c r="D13" s="10" t="inlineStr">
        <is>
          <t>gal</t>
        </is>
      </c>
      <c r="E13" s="10" t="n">
        <v>1</v>
      </c>
      <c r="F13" s="10" t="inlineStr">
        <is>
          <t>gal</t>
        </is>
      </c>
      <c r="G13" s="10" t="n">
        <v>70</v>
      </c>
      <c r="H13" s="10" t="n">
        <v>1</v>
      </c>
      <c r="I13" s="10" t="n">
        <v>0</v>
      </c>
      <c r="J13" s="11" t="inlineStr"/>
      <c r="K13" s="10" t="n">
        <v>1.5977</v>
      </c>
      <c r="L13" s="10" t="n">
        <v>2</v>
      </c>
      <c r="M13" s="12" t="n">
        <v>140</v>
      </c>
    </row>
    <row r="14">
      <c r="A14" s="4" t="inlineStr">
        <is>
          <t>Natural Cucumber S1511015 (FONA)</t>
        </is>
      </c>
      <c r="B14" s="10" t="inlineStr">
        <is>
          <t>Liquid</t>
        </is>
      </c>
      <c r="C14" s="10" t="n">
        <v>0.192</v>
      </c>
      <c r="D14" s="10" t="inlineStr">
        <is>
          <t>gal</t>
        </is>
      </c>
      <c r="E14" s="10" t="n">
        <v>1</v>
      </c>
      <c r="F14" s="10" t="inlineStr">
        <is>
          <t>gal</t>
        </is>
      </c>
      <c r="G14" s="10" t="n">
        <v>70</v>
      </c>
      <c r="H14" s="10" t="n">
        <v>1</v>
      </c>
      <c r="I14" s="10" t="n">
        <v>0</v>
      </c>
      <c r="J14" s="11" t="inlineStr"/>
      <c r="K14" s="10" t="n">
        <v>3.1954</v>
      </c>
      <c r="L14" s="10" t="n">
        <v>4</v>
      </c>
      <c r="M14" s="12" t="n">
        <v>280</v>
      </c>
    </row>
    <row r="15">
      <c r="A15" s="4" t="inlineStr">
        <is>
          <t>Signature Beverage Enhancer (Blue Pacific)</t>
        </is>
      </c>
      <c r="B15" s="10" t="inlineStr">
        <is>
          <t>Liquid</t>
        </is>
      </c>
      <c r="C15" s="10" t="n">
        <v>0.2671</v>
      </c>
      <c r="D15" s="10" t="inlineStr">
        <is>
          <t>lbs</t>
        </is>
      </c>
      <c r="E15" s="10" t="n">
        <v>1</v>
      </c>
      <c r="F15" s="10" t="inlineStr">
        <is>
          <t>lbs</t>
        </is>
      </c>
      <c r="G15" s="13" t="n">
        <v>34</v>
      </c>
      <c r="H15" s="10" t="n">
        <v>1</v>
      </c>
      <c r="I15" s="10" t="n">
        <v>0</v>
      </c>
      <c r="J15" s="11" t="inlineStr"/>
      <c r="K15" s="10" t="n">
        <v>4.4445</v>
      </c>
      <c r="L15" s="10" t="n">
        <v>5</v>
      </c>
      <c r="M15" s="12" t="n">
        <v>170</v>
      </c>
    </row>
    <row r="16">
      <c r="J16" s="14" t="inlineStr">
        <is>
          <t>TOTALS</t>
        </is>
      </c>
      <c r="K16" s="15" t="n"/>
      <c r="L16" s="15" t="n"/>
      <c r="M16" s="16">
        <f>SUM(M2:M15)</f>
        <v/>
      </c>
    </row>
  </sheetData>
  <dataValidations count="3">
    <dataValidation sqref="B2:B15" showDropDown="0" showInputMessage="0" showErrorMessage="0" allowBlank="1" type="list">
      <formula1>"Liquid,Dry"</formula1>
    </dataValidation>
    <dataValidation sqref="D2:D15" showDropDown="0" showInputMessage="0" showErrorMessage="0" allowBlank="1" type="list">
      <formula1>"mg,g,kg,oz,lbs,mL,L,gal"</formula1>
    </dataValidation>
    <dataValidation sqref="F2:F15" showDropDown="0" showInputMessage="0" showErrorMessage="0" allowBlank="1" type="list">
      <formula1>"g,kg,oz,lbs,mL,L,gal"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9" customWidth="1" min="2" max="2"/>
    <col width="12" customWidth="1" min="3" max="3"/>
    <col width="11" customWidth="1" min="4" max="4"/>
    <col width="5" customWidth="1" min="5" max="5"/>
    <col width="9" customWidth="1" min="6" max="6"/>
    <col width="14" customWidth="1" min="7" max="7"/>
    <col width="7" customWidth="1" min="8" max="8"/>
    <col width="8" customWidth="1" min="9" max="9"/>
    <col width="5" customWidth="1" min="10" max="10"/>
    <col width="16" customWidth="1" min="11" max="11"/>
    <col width="16" customWidth="1" min="12" max="12"/>
    <col width="12" customWidth="1" min="13" max="13"/>
  </cols>
  <sheetData>
    <row r="1">
      <c r="A1" s="8" t="inlineStr">
        <is>
          <t>INGREDIENT</t>
        </is>
      </c>
      <c r="B1" s="8" t="inlineStr">
        <is>
          <t>TYPE</t>
        </is>
      </c>
      <c r="C1" s="8" t="inlineStr">
        <is>
          <t>RECIPE AMT</t>
        </is>
      </c>
      <c r="D1" s="8" t="inlineStr">
        <is>
          <t>RECIPE UNIT</t>
        </is>
      </c>
      <c r="E1" s="8" t="inlineStr">
        <is>
          <t>SG</t>
        </is>
      </c>
      <c r="F1" s="8" t="inlineStr">
        <is>
          <t>BUY UNIT</t>
        </is>
      </c>
      <c r="G1" s="8" t="inlineStr">
        <is>
          <t>PRICE/BUY UNIT</t>
        </is>
      </c>
      <c r="H1" s="8" t="inlineStr">
        <is>
          <t>MOQ</t>
        </is>
      </c>
      <c r="I1" s="8" t="inlineStr">
        <is>
          <t>ON HAND</t>
        </is>
      </c>
      <c r="K1" s="9" t="inlineStr">
        <is>
          <t>NEED /2000 cases (+5% loss)</t>
        </is>
      </c>
      <c r="L1" s="9" t="inlineStr">
        <is>
          <t>BUY QTY (MOQ-adj)</t>
        </is>
      </c>
      <c r="M1" s="9" t="inlineStr">
        <is>
          <t>LINE COST $</t>
        </is>
      </c>
    </row>
    <row r="2">
      <c r="A2" s="4" t="inlineStr">
        <is>
          <t>Treated Water (RO)</t>
        </is>
      </c>
      <c r="B2" s="10" t="inlineStr">
        <is>
          <t>Liquid</t>
        </is>
      </c>
      <c r="C2" s="10" t="n">
        <v>93.28</v>
      </c>
      <c r="D2" s="10" t="inlineStr">
        <is>
          <t>gal</t>
        </is>
      </c>
      <c r="E2" s="10" t="n">
        <v>1</v>
      </c>
      <c r="F2" s="10" t="inlineStr">
        <is>
          <t>gal</t>
        </is>
      </c>
      <c r="G2" s="10" t="n">
        <v>0.1</v>
      </c>
      <c r="H2" s="10" t="n">
        <v>1</v>
      </c>
      <c r="I2" s="10" t="n">
        <v>0</v>
      </c>
      <c r="J2" s="11" t="inlineStr"/>
      <c r="K2" s="10" t="n">
        <v>1552.444</v>
      </c>
      <c r="L2" s="10" t="n">
        <v>1553</v>
      </c>
      <c r="M2" s="12" t="n">
        <v>155.3</v>
      </c>
    </row>
    <row r="3">
      <c r="A3" s="4" t="inlineStr">
        <is>
          <t>Vegetable Glycerin (Cacee)</t>
        </is>
      </c>
      <c r="B3" s="10" t="inlineStr">
        <is>
          <t>Liquid</t>
        </is>
      </c>
      <c r="C3" s="10" t="n">
        <v>40.3918</v>
      </c>
      <c r="D3" s="10" t="inlineStr">
        <is>
          <t>lbs</t>
        </is>
      </c>
      <c r="E3" s="10" t="n">
        <v>1</v>
      </c>
      <c r="F3" s="10" t="inlineStr">
        <is>
          <t>lbs</t>
        </is>
      </c>
      <c r="G3" s="13" t="n">
        <v>2</v>
      </c>
      <c r="H3" s="10" t="n">
        <v>50</v>
      </c>
      <c r="I3" s="10" t="n">
        <v>0</v>
      </c>
      <c r="J3" s="11" t="inlineStr"/>
      <c r="K3" s="10" t="n">
        <v>672.2341</v>
      </c>
      <c r="L3" s="10" t="n">
        <v>700</v>
      </c>
      <c r="M3" s="12" t="n">
        <v>1400</v>
      </c>
    </row>
    <row r="4">
      <c r="A4" s="4" t="inlineStr">
        <is>
          <t>Potassium Benzoate</t>
        </is>
      </c>
      <c r="B4" s="10" t="inlineStr">
        <is>
          <t>Liquid</t>
        </is>
      </c>
      <c r="C4" s="10" t="n">
        <v>0.1136</v>
      </c>
      <c r="D4" s="10" t="inlineStr">
        <is>
          <t>kg</t>
        </is>
      </c>
      <c r="E4" s="10" t="n">
        <v>1</v>
      </c>
      <c r="F4" s="10" t="inlineStr">
        <is>
          <t>kg</t>
        </is>
      </c>
      <c r="G4" s="10" t="n">
        <v>4.82</v>
      </c>
      <c r="H4" s="10" t="n">
        <v>55</v>
      </c>
      <c r="I4" s="10" t="n">
        <v>0</v>
      </c>
      <c r="J4" s="11" t="inlineStr"/>
      <c r="K4" s="10" t="n">
        <v>1.89</v>
      </c>
      <c r="L4" s="10" t="n">
        <v>55</v>
      </c>
      <c r="M4" s="12" t="n">
        <v>265.1</v>
      </c>
    </row>
    <row r="5">
      <c r="A5" s="4" t="inlineStr">
        <is>
          <t>Potassium Sorbate</t>
        </is>
      </c>
      <c r="B5" s="10" t="inlineStr">
        <is>
          <t>Liquid</t>
        </is>
      </c>
      <c r="C5" s="10" t="n">
        <v>0.1136</v>
      </c>
      <c r="D5" s="10" t="inlineStr">
        <is>
          <t>kg</t>
        </is>
      </c>
      <c r="E5" s="10" t="n">
        <v>1</v>
      </c>
      <c r="F5" s="10" t="inlineStr">
        <is>
          <t>kg</t>
        </is>
      </c>
      <c r="G5" s="10" t="n">
        <v>2.86</v>
      </c>
      <c r="H5" s="10" t="n">
        <v>55</v>
      </c>
      <c r="I5" s="10" t="n">
        <v>0</v>
      </c>
      <c r="J5" s="11" t="inlineStr"/>
      <c r="K5" s="10" t="n">
        <v>1.89</v>
      </c>
      <c r="L5" s="10" t="n">
        <v>55</v>
      </c>
      <c r="M5" s="12" t="n">
        <v>157.3</v>
      </c>
    </row>
    <row r="6">
      <c r="A6" s="4" t="inlineStr">
        <is>
          <t>Sodium Copper Chlorophyllin CA101808 (Naturex)</t>
        </is>
      </c>
      <c r="B6" s="10" t="inlineStr">
        <is>
          <t>Liquid</t>
        </is>
      </c>
      <c r="C6" s="10" t="n">
        <v>0.3725</v>
      </c>
      <c r="D6" s="10" t="inlineStr">
        <is>
          <t>kg</t>
        </is>
      </c>
      <c r="E6" s="10" t="n">
        <v>1</v>
      </c>
      <c r="F6" s="10" t="inlineStr">
        <is>
          <t>kg</t>
        </is>
      </c>
      <c r="G6" s="13" t="n">
        <v>60</v>
      </c>
      <c r="H6" s="10" t="n">
        <v>25</v>
      </c>
      <c r="I6" s="10" t="n">
        <v>0</v>
      </c>
      <c r="J6" s="11" t="inlineStr"/>
      <c r="K6" s="10" t="n">
        <v>6.1992</v>
      </c>
      <c r="L6" s="10" t="n">
        <v>25</v>
      </c>
      <c r="M6" s="12" t="n">
        <v>1500</v>
      </c>
    </row>
    <row r="7">
      <c r="A7" s="4" t="inlineStr">
        <is>
          <t>CBD Hydrobond 685449</t>
        </is>
      </c>
      <c r="B7" s="10" t="inlineStr">
        <is>
          <t>Liquid</t>
        </is>
      </c>
      <c r="C7" s="10" t="n">
        <v>0.0757</v>
      </c>
      <c r="D7" s="10" t="inlineStr">
        <is>
          <t>kg</t>
        </is>
      </c>
      <c r="E7" s="10" t="n">
        <v>1</v>
      </c>
      <c r="F7" s="10" t="inlineStr">
        <is>
          <t>kg</t>
        </is>
      </c>
      <c r="G7" s="13" t="n">
        <v>300</v>
      </c>
      <c r="H7" s="10" t="n">
        <v>1</v>
      </c>
      <c r="I7" s="10" t="n">
        <v>0</v>
      </c>
      <c r="J7" s="11" t="inlineStr"/>
      <c r="K7" s="10" t="n">
        <v>1.26</v>
      </c>
      <c r="L7" s="10" t="n">
        <v>2</v>
      </c>
      <c r="M7" s="12" t="n">
        <v>600</v>
      </c>
    </row>
    <row r="8">
      <c r="A8" s="4" t="inlineStr">
        <is>
          <t>Talin PG95 T0001 (Naturex)</t>
        </is>
      </c>
      <c r="B8" s="10" t="inlineStr">
        <is>
          <t>Liquid</t>
        </is>
      </c>
      <c r="C8" s="10" t="n">
        <v>0.6814</v>
      </c>
      <c r="D8" s="10" t="inlineStr">
        <is>
          <t>kg</t>
        </is>
      </c>
      <c r="E8" s="10" t="n">
        <v>1</v>
      </c>
      <c r="F8" s="10" t="inlineStr">
        <is>
          <t>kg</t>
        </is>
      </c>
      <c r="G8" s="13" t="n">
        <v>200</v>
      </c>
      <c r="H8" s="10" t="n">
        <v>1</v>
      </c>
      <c r="I8" s="10" t="n">
        <v>0</v>
      </c>
      <c r="J8" s="11" t="inlineStr"/>
      <c r="K8" s="10" t="n">
        <v>11.34</v>
      </c>
      <c r="L8" s="10" t="n">
        <v>12</v>
      </c>
      <c r="M8" s="12" t="n">
        <v>2400</v>
      </c>
    </row>
    <row r="9">
      <c r="A9" s="4" t="inlineStr">
        <is>
          <t>Crystalline Fructose</t>
        </is>
      </c>
      <c r="B9" s="10" t="inlineStr">
        <is>
          <t>Liquid</t>
        </is>
      </c>
      <c r="C9" s="10" t="n">
        <v>3.3382</v>
      </c>
      <c r="D9" s="10" t="inlineStr">
        <is>
          <t>lbs</t>
        </is>
      </c>
      <c r="E9" s="10" t="n">
        <v>1</v>
      </c>
      <c r="F9" s="10" t="inlineStr">
        <is>
          <t>lbs</t>
        </is>
      </c>
      <c r="G9" s="13" t="n">
        <v>1.2</v>
      </c>
      <c r="H9" s="10" t="n">
        <v>50</v>
      </c>
      <c r="I9" s="10" t="n">
        <v>0</v>
      </c>
      <c r="J9" s="11" t="inlineStr"/>
      <c r="K9" s="10" t="n">
        <v>55.5565</v>
      </c>
      <c r="L9" s="10" t="n">
        <v>100</v>
      </c>
      <c r="M9" s="12" t="n">
        <v>120</v>
      </c>
    </row>
    <row r="10">
      <c r="A10" s="4" t="inlineStr">
        <is>
          <t>Citric Acid</t>
        </is>
      </c>
      <c r="B10" s="10" t="inlineStr">
        <is>
          <t>Liquid</t>
        </is>
      </c>
      <c r="C10" s="10" t="n">
        <v>0.5007</v>
      </c>
      <c r="D10" s="10" t="inlineStr">
        <is>
          <t>lbs</t>
        </is>
      </c>
      <c r="E10" s="10" t="n">
        <v>1</v>
      </c>
      <c r="F10" s="10" t="inlineStr">
        <is>
          <t>lbs</t>
        </is>
      </c>
      <c r="G10" s="10" t="n">
        <v>1.52</v>
      </c>
      <c r="H10" s="10" t="n">
        <v>50</v>
      </c>
      <c r="I10" s="10" t="n">
        <v>0</v>
      </c>
      <c r="J10" s="11" t="inlineStr"/>
      <c r="K10" s="10" t="n">
        <v>8.333500000000001</v>
      </c>
      <c r="L10" s="10" t="n">
        <v>50</v>
      </c>
      <c r="M10" s="12" t="n">
        <v>76</v>
      </c>
    </row>
    <row r="11">
      <c r="A11" s="4" t="inlineStr">
        <is>
          <t>Ultra Masking Nat 380223 (Gold Coast)</t>
        </is>
      </c>
      <c r="B11" s="10" t="inlineStr">
        <is>
          <t>Liquid</t>
        </is>
      </c>
      <c r="C11" s="10" t="n">
        <v>0.152</v>
      </c>
      <c r="D11" s="10" t="inlineStr">
        <is>
          <t>gal</t>
        </is>
      </c>
      <c r="E11" s="10" t="n">
        <v>1</v>
      </c>
      <c r="F11" s="10" t="inlineStr">
        <is>
          <t>gal</t>
        </is>
      </c>
      <c r="G11" s="10" t="n">
        <v>70</v>
      </c>
      <c r="H11" s="10" t="n">
        <v>1</v>
      </c>
      <c r="I11" s="10" t="n">
        <v>0</v>
      </c>
      <c r="J11" s="11" t="inlineStr"/>
      <c r="K11" s="10" t="n">
        <v>2.5297</v>
      </c>
      <c r="L11" s="10" t="n">
        <v>3</v>
      </c>
      <c r="M11" s="12" t="n">
        <v>210</v>
      </c>
    </row>
    <row r="12">
      <c r="A12" s="4" t="inlineStr">
        <is>
          <t>Organic Lemon 601032 (Gold Coast)</t>
        </is>
      </c>
      <c r="B12" s="10" t="inlineStr">
        <is>
          <t>Liquid</t>
        </is>
      </c>
      <c r="C12" s="10" t="n">
        <v>0.092</v>
      </c>
      <c r="D12" s="10" t="inlineStr">
        <is>
          <t>gal</t>
        </is>
      </c>
      <c r="E12" s="10" t="n">
        <v>1</v>
      </c>
      <c r="F12" s="10" t="inlineStr">
        <is>
          <t>gal</t>
        </is>
      </c>
      <c r="G12" s="10" t="n">
        <v>70</v>
      </c>
      <c r="H12" s="10" t="n">
        <v>1</v>
      </c>
      <c r="I12" s="10" t="n">
        <v>0</v>
      </c>
      <c r="J12" s="11" t="inlineStr"/>
      <c r="K12" s="10" t="n">
        <v>1.5311</v>
      </c>
      <c r="L12" s="10" t="n">
        <v>2</v>
      </c>
      <c r="M12" s="12" t="n">
        <v>140</v>
      </c>
    </row>
    <row r="13">
      <c r="A13" s="4" t="inlineStr">
        <is>
          <t>Organic Lime 309465 (Gold Coast)</t>
        </is>
      </c>
      <c r="B13" s="10" t="inlineStr">
        <is>
          <t>Liquid</t>
        </is>
      </c>
      <c r="C13" s="10" t="n">
        <v>0.112</v>
      </c>
      <c r="D13" s="10" t="inlineStr">
        <is>
          <t>gal</t>
        </is>
      </c>
      <c r="E13" s="10" t="n">
        <v>1</v>
      </c>
      <c r="F13" s="10" t="inlineStr">
        <is>
          <t>gal</t>
        </is>
      </c>
      <c r="G13" s="10" t="n">
        <v>70</v>
      </c>
      <c r="H13" s="10" t="n">
        <v>1</v>
      </c>
      <c r="I13" s="10" t="n">
        <v>0</v>
      </c>
      <c r="J13" s="11" t="inlineStr"/>
      <c r="K13" s="10" t="n">
        <v>1.864</v>
      </c>
      <c r="L13" s="10" t="n">
        <v>2</v>
      </c>
      <c r="M13" s="12" t="n">
        <v>140</v>
      </c>
    </row>
    <row r="14">
      <c r="A14" s="4" t="inlineStr">
        <is>
          <t>Natural Bergamot Flavor (Gold Coast)</t>
        </is>
      </c>
      <c r="B14" s="10" t="inlineStr">
        <is>
          <t>Liquid</t>
        </is>
      </c>
      <c r="C14" s="10" t="n">
        <v>0.14</v>
      </c>
      <c r="D14" s="10" t="inlineStr">
        <is>
          <t>gal</t>
        </is>
      </c>
      <c r="E14" s="10" t="n">
        <v>1</v>
      </c>
      <c r="F14" s="10" t="inlineStr">
        <is>
          <t>gal</t>
        </is>
      </c>
      <c r="G14" s="10" t="n">
        <v>70</v>
      </c>
      <c r="H14" s="10" t="n">
        <v>1</v>
      </c>
      <c r="I14" s="10" t="n">
        <v>0</v>
      </c>
      <c r="J14" s="11" t="inlineStr"/>
      <c r="K14" s="10" t="n">
        <v>2.33</v>
      </c>
      <c r="L14" s="10" t="n">
        <v>3</v>
      </c>
      <c r="M14" s="12" t="n">
        <v>210</v>
      </c>
    </row>
    <row r="15">
      <c r="A15" s="4" t="inlineStr">
        <is>
          <t>Organic Cranberry Flavor 606856 (Gold Coast)</t>
        </is>
      </c>
      <c r="B15" s="10" t="inlineStr">
        <is>
          <t>Liquid</t>
        </is>
      </c>
      <c r="C15" s="10" t="n">
        <v>0.152</v>
      </c>
      <c r="D15" s="10" t="inlineStr">
        <is>
          <t>gal</t>
        </is>
      </c>
      <c r="E15" s="10" t="n">
        <v>1</v>
      </c>
      <c r="F15" s="10" t="inlineStr">
        <is>
          <t>gal</t>
        </is>
      </c>
      <c r="G15" s="10" t="n">
        <v>70</v>
      </c>
      <c r="H15" s="10" t="n">
        <v>1</v>
      </c>
      <c r="I15" s="10" t="n">
        <v>0</v>
      </c>
      <c r="J15" s="11" t="inlineStr"/>
      <c r="K15" s="10" t="n">
        <v>2.5297</v>
      </c>
      <c r="L15" s="10" t="n">
        <v>3</v>
      </c>
      <c r="M15" s="12" t="n">
        <v>210</v>
      </c>
    </row>
    <row r="16">
      <c r="A16" s="4" t="inlineStr">
        <is>
          <t>Signature Beverage Enhancer (Blue Pacific)</t>
        </is>
      </c>
      <c r="B16" s="10" t="inlineStr">
        <is>
          <t>Liquid</t>
        </is>
      </c>
      <c r="C16" s="10" t="n">
        <v>0.4006</v>
      </c>
      <c r="D16" s="10" t="inlineStr">
        <is>
          <t>lbs</t>
        </is>
      </c>
      <c r="E16" s="10" t="n">
        <v>1</v>
      </c>
      <c r="F16" s="10" t="inlineStr">
        <is>
          <t>lbs</t>
        </is>
      </c>
      <c r="G16" s="13" t="n">
        <v>34</v>
      </c>
      <c r="H16" s="10" t="n">
        <v>1</v>
      </c>
      <c r="I16" s="10" t="n">
        <v>0</v>
      </c>
      <c r="J16" s="11" t="inlineStr"/>
      <c r="K16" s="10" t="n">
        <v>6.6668</v>
      </c>
      <c r="L16" s="10" t="n">
        <v>7</v>
      </c>
      <c r="M16" s="12" t="n">
        <v>238</v>
      </c>
    </row>
    <row r="17">
      <c r="J17" s="14" t="inlineStr">
        <is>
          <t>TOTALS</t>
        </is>
      </c>
      <c r="K17" s="15" t="n"/>
      <c r="L17" s="15" t="n"/>
      <c r="M17" s="16">
        <f>SUM(M2:M16)</f>
        <v/>
      </c>
    </row>
  </sheetData>
  <dataValidations count="3">
    <dataValidation sqref="B2:B16" showDropDown="0" showInputMessage="0" showErrorMessage="0" allowBlank="1" type="list">
      <formula1>"Liquid,Dry"</formula1>
    </dataValidation>
    <dataValidation sqref="D2:D16" showDropDown="0" showInputMessage="0" showErrorMessage="0" allowBlank="1" type="list">
      <formula1>"mg,g,kg,oz,lbs,mL,L,gal"</formula1>
    </dataValidation>
    <dataValidation sqref="F2:F16" showDropDown="0" showInputMessage="0" showErrorMessage="0" allowBlank="1" type="list">
      <formula1>"g,kg,oz,lbs,mL,L,gal"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8" customWidth="1" min="3" max="3"/>
    <col width="72" customWidth="1" min="4" max="4"/>
  </cols>
  <sheetData>
    <row r="1">
      <c r="A1" s="1" t="inlineStr">
        <is>
          <t>Price sources &amp; notes</t>
        </is>
      </c>
    </row>
    <row r="3">
      <c r="A3" s="17" t="inlineStr">
        <is>
          <t>Ingredient</t>
        </is>
      </c>
      <c r="B3" s="17" t="inlineStr">
        <is>
          <t>Price</t>
        </is>
      </c>
      <c r="C3" s="17" t="inlineStr">
        <is>
          <t>Unit</t>
        </is>
      </c>
      <c r="D3" s="17" t="inlineStr">
        <is>
          <t>Source (link)</t>
        </is>
      </c>
    </row>
    <row r="4">
      <c r="A4" t="inlineStr">
        <is>
          <t>Water</t>
        </is>
      </c>
      <c r="B4" t="inlineStr">
        <is>
          <t>$0.1</t>
        </is>
      </c>
      <c r="C4" t="inlineStr">
        <is>
          <t>/gal</t>
        </is>
      </c>
      <c r="D4" s="18" t="inlineStr">
        <is>
          <t>Internal: spec sheet (Drayhorse RO)</t>
        </is>
      </c>
    </row>
    <row r="5">
      <c r="A5" t="inlineStr">
        <is>
          <t>Vegetable Glycerin</t>
        </is>
      </c>
      <c r="B5" s="19" t="inlineStr">
        <is>
          <t>$2</t>
        </is>
      </c>
      <c r="C5" t="inlineStr">
        <is>
          <t>/lbs</t>
        </is>
      </c>
      <c r="D5" s="20" t="inlineStr">
        <is>
          <t>Bulk Apothecary / Jedwards USP (est.)</t>
        </is>
      </c>
    </row>
    <row r="6">
      <c r="A6" t="inlineStr">
        <is>
          <t>Potassium Benzoate</t>
        </is>
      </c>
      <c r="B6" t="inlineStr">
        <is>
          <t>$4.82</t>
        </is>
      </c>
      <c r="C6" t="inlineStr">
        <is>
          <t>/kg</t>
        </is>
      </c>
      <c r="D6" s="18" t="inlineStr">
        <is>
          <t>Internal: Katana avg cost</t>
        </is>
      </c>
    </row>
    <row r="7">
      <c r="A7" t="inlineStr">
        <is>
          <t>Potassium Sorbate</t>
        </is>
      </c>
      <c r="B7" t="inlineStr">
        <is>
          <t>$2.86</t>
        </is>
      </c>
      <c r="C7" t="inlineStr">
        <is>
          <t>/kg</t>
        </is>
      </c>
      <c r="D7" s="18" t="inlineStr">
        <is>
          <t>Internal: Katana avg cost</t>
        </is>
      </c>
    </row>
    <row r="8">
      <c r="A8" t="inlineStr">
        <is>
          <t>Grape Blue Shade</t>
        </is>
      </c>
      <c r="B8" s="19" t="inlineStr">
        <is>
          <t>$55</t>
        </is>
      </c>
      <c r="C8" t="inlineStr">
        <is>
          <t>/kg</t>
        </is>
      </c>
      <c r="D8" s="20" t="inlineStr">
        <is>
          <t>GNT EXBERRY natural color (est.)</t>
        </is>
      </c>
    </row>
    <row r="9">
      <c r="A9" t="inlineStr">
        <is>
          <t>Sodium Copper Chlorophyllin</t>
        </is>
      </c>
      <c r="B9" s="19" t="inlineStr">
        <is>
          <t>$60</t>
        </is>
      </c>
      <c r="C9" t="inlineStr">
        <is>
          <t>/kg</t>
        </is>
      </c>
      <c r="D9" s="20" t="inlineStr">
        <is>
          <t>Naturex / Nutri Avenue E141 (est.)</t>
        </is>
      </c>
    </row>
    <row r="10">
      <c r="A10" t="inlineStr">
        <is>
          <t>CBD Hydrobond</t>
        </is>
      </c>
      <c r="B10" s="19" t="inlineStr">
        <is>
          <t>$300</t>
        </is>
      </c>
      <c r="C10" t="inlineStr">
        <is>
          <t>/kg</t>
        </is>
      </c>
      <c r="D10" s="20" t="inlineStr">
        <is>
          <t>Hemp Depot water-soluble CBD (est.)</t>
        </is>
      </c>
    </row>
    <row r="11">
      <c r="A11" t="inlineStr">
        <is>
          <t>Bossen Lychee Syrup</t>
        </is>
      </c>
      <c r="B11" t="inlineStr">
        <is>
          <t>$15.45</t>
        </is>
      </c>
      <c r="C11" t="inlineStr">
        <is>
          <t>/lbs</t>
        </is>
      </c>
      <c r="D11" s="20" t="inlineStr">
        <is>
          <t>Boba Warehouse ($85 / 5.5 lb)</t>
        </is>
      </c>
    </row>
    <row r="12">
      <c r="A12" t="inlineStr">
        <is>
          <t>Talin PG95</t>
        </is>
      </c>
      <c r="B12" s="19" t="inlineStr">
        <is>
          <t>$200</t>
        </is>
      </c>
      <c r="C12" t="inlineStr">
        <is>
          <t>/kg</t>
        </is>
      </c>
      <c r="D12" s="20" t="inlineStr">
        <is>
          <t>Naturex/Givaudan Talin; bulk thaumatin (est.)</t>
        </is>
      </c>
    </row>
    <row r="13">
      <c r="A13" t="inlineStr">
        <is>
          <t>Crystalline Fructose</t>
        </is>
      </c>
      <c r="B13" s="19" t="inlineStr">
        <is>
          <t>$1.2</t>
        </is>
      </c>
      <c r="C13" t="inlineStr">
        <is>
          <t>/lbs</t>
        </is>
      </c>
      <c r="D13" s="20" t="inlineStr">
        <is>
          <t>Bakers Authority (ADM Cornsweet)</t>
        </is>
      </c>
    </row>
    <row r="14">
      <c r="A14" t="inlineStr">
        <is>
          <t>Citric Acid</t>
        </is>
      </c>
      <c r="B14" t="inlineStr">
        <is>
          <t>$1.52</t>
        </is>
      </c>
      <c r="C14" t="inlineStr">
        <is>
          <t>/lbs</t>
        </is>
      </c>
      <c r="D14" s="18" t="inlineStr">
        <is>
          <t>Internal: Complete Ingredients tab (Brenntag)</t>
        </is>
      </c>
    </row>
    <row r="15">
      <c r="A15" t="inlineStr">
        <is>
          <t>Natural Flavor</t>
        </is>
      </c>
      <c r="B15" t="inlineStr">
        <is>
          <t>$70</t>
        </is>
      </c>
      <c r="C15" t="inlineStr">
        <is>
          <t>/gal</t>
        </is>
      </c>
      <c r="D15" s="18" t="inlineStr">
        <is>
          <t>Client-directed: $70/gal</t>
        </is>
      </c>
    </row>
    <row r="16">
      <c r="A16" t="inlineStr">
        <is>
          <t>Chamomile Hydrosol</t>
        </is>
      </c>
      <c r="B16" s="19" t="inlineStr">
        <is>
          <t>$50</t>
        </is>
      </c>
      <c r="C16" t="inlineStr">
        <is>
          <t>/gal</t>
        </is>
      </c>
      <c r="D16" s="20" t="inlineStr">
        <is>
          <t>Food-grade organic hydrosol: Florihana/Shay/Organic Creations - quote pending ($40-90/gal)</t>
        </is>
      </c>
    </row>
    <row r="17">
      <c r="A17" t="inlineStr">
        <is>
          <t>Signature Beverage Enhancer</t>
        </is>
      </c>
      <c r="B17" s="19" t="inlineStr">
        <is>
          <t>$34</t>
        </is>
      </c>
      <c r="C17" t="inlineStr">
        <is>
          <t>/lbs</t>
        </is>
      </c>
      <c r="D17" s="18" t="inlineStr">
        <is>
          <t>Blue Pacific Flavors analog (est.)</t>
        </is>
      </c>
    </row>
    <row r="18">
      <c r="A18" t="inlineStr"/>
    </row>
    <row r="19">
      <c r="A19" s="21" t="inlineStr">
        <is>
          <t>NOTES</t>
        </is>
      </c>
    </row>
    <row r="20">
      <c r="A20" t="inlineStr">
        <is>
          <t>- Base batch = 100 gal finished. RECIPE AMT is per 100 gal, expressed in each ingredient BUY UNIT so RECIPE UNIT = BUY UNIT (no g-&gt;kg conversion to get wrong).</t>
        </is>
      </c>
    </row>
    <row r="21">
      <c r="A21" t="inlineStr">
        <is>
          <t>- Run columns (blue) scale the 100-gal recipe to 2,000 x 12-packs = 24,000 cans (~1,585 gal) and add 5% production loss.</t>
        </is>
      </c>
    </row>
    <row r="22">
      <c r="A22" t="inlineStr">
        <is>
          <t>- BUY QTY (MOQ-adj) rounds each item UP to its minimum order; LINE COST is on that purchased quantity (real spend for one run).</t>
        </is>
      </c>
    </row>
    <row r="23">
      <c r="A23" t="inlineStr">
        <is>
          <t>- Recipes are from the Spec tabs (embedded images), 250 mL cans. SG=1, TYPE=Liquid per the grid; set powders to Dry if your tool needs it.</t>
        </is>
      </c>
    </row>
    <row r="24">
      <c r="A24" t="inlineStr">
        <is>
          <t>- Green price cells = researched estimates to confirm by quote. Chamomile must be FOOD-GRADE hydrosol ($40-90/gal organic German).</t>
        </is>
      </c>
    </row>
  </sheetData>
  <hyperlinks>
    <hyperlink xmlns:r="http://schemas.openxmlformats.org/officeDocument/2006/relationships" ref="D5" r:id="rId1"/>
    <hyperlink xmlns:r="http://schemas.openxmlformats.org/officeDocument/2006/relationships" ref="D8" r:id="rId2"/>
    <hyperlink xmlns:r="http://schemas.openxmlformats.org/officeDocument/2006/relationships" ref="D9" r:id="rId3"/>
    <hyperlink xmlns:r="http://schemas.openxmlformats.org/officeDocument/2006/relationships" ref="D10" r:id="rId4"/>
    <hyperlink xmlns:r="http://schemas.openxmlformats.org/officeDocument/2006/relationships" ref="D11" r:id="rId5"/>
    <hyperlink xmlns:r="http://schemas.openxmlformats.org/officeDocument/2006/relationships" ref="D12" r:id="rId6"/>
    <hyperlink xmlns:r="http://schemas.openxmlformats.org/officeDocument/2006/relationships" ref="D13" r:id="rId7"/>
    <hyperlink xmlns:r="http://schemas.openxmlformats.org/officeDocument/2006/relationships" ref="D16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2026-05-26T19:06:13Z</dcterms:created>
  <dcterms:modified xsi:type="dcterms:W3CDTF">2026-05-26T19:06:13Z</dcterms:modified>
</cp:coreProperties>
</file>