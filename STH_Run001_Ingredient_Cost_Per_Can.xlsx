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wtime Elixir" sheetId="1" state="visible" r:id="rId1"/>
    <sheet name="Serenity" sheetId="2" state="visible" r:id="rId2"/>
    <sheet name="The Fountain" sheetId="3" state="visible" r:id="rId3"/>
    <sheet name="Defend" sheetId="4" state="visible" r:id="rId4"/>
    <sheet name="Cost Summary" sheetId="5" state="visible" r:id="rId5"/>
    <sheet name="Source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0.0000"/>
    <numFmt numFmtId="165" formatCode="$0.00"/>
  </numFmts>
  <fonts count="8">
    <font>
      <name val="Calibri"/>
      <family val="2"/>
      <color theme="1"/>
      <sz val="11"/>
      <scheme val="minor"/>
    </font>
    <font>
      <b val="1"/>
      <color rgb="00595959"/>
      <sz val="9"/>
    </font>
    <font>
      <b val="1"/>
      <color rgb="001F4E78"/>
      <sz val="13"/>
    </font>
    <font>
      <i val="1"/>
      <color rgb="00666666"/>
      <sz val="9"/>
    </font>
    <font>
      <b val="1"/>
    </font>
    <font>
      <i val="1"/>
    </font>
    <font>
      <color rgb="000563C1"/>
      <sz val="9"/>
      <u val="single"/>
    </font>
    <font>
      <color rgb="00B85C00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0" fontId="1" fillId="2" borderId="1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bulkapothecary.com/raw-ingredients/other-ingredients-and-chemicals/glycerin/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www.nutriavenue.com/ingredients/sodium-copper-chlorophyllin-2/" TargetMode="External" Id="rId3" /><Relationship Type="http://schemas.openxmlformats.org/officeDocument/2006/relationships/hyperlink" Target="https://hempdepotwholesale.com/product/broad-spectrum-nano-encapsulated-water-soluble-cbd-powder/" TargetMode="External" Id="rId4" /><Relationship Type="http://schemas.openxmlformats.org/officeDocument/2006/relationships/hyperlink" Target="https://bobawarehouse.com/products/bossen-lychee-litchi-syrup" TargetMode="External" Id="rId5" /><Relationship Type="http://schemas.openxmlformats.org/officeDocument/2006/relationships/hyperlink" Target="https://www.knowde.com/stores/givaudan-naturex/products/naturex-talin-gl95-so000006" TargetMode="External" Id="rId6" /><Relationship Type="http://schemas.openxmlformats.org/officeDocument/2006/relationships/hyperlink" Target="https://www.bakersauthority.com/products/adm-cornsweet-crystalline-fructose-powder" TargetMode="External" Id="rId7" /><Relationship Type="http://schemas.openxmlformats.org/officeDocument/2006/relationships/hyperlink" Target="https://www.florihana.com/us/hydrosols/717-german-chamomile-organic.html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6" customWidth="1" min="5" max="5"/>
    <col width="10" customWidth="1" min="6" max="6"/>
    <col width="15" customWidth="1" min="7" max="7"/>
    <col width="8" customWidth="1" min="8" max="8"/>
    <col width="9" customWidth="1" min="9" max="9"/>
  </cols>
  <sheetData>
    <row r="1">
      <c r="A1" s="1" t="inlineStr">
        <is>
          <t>INGREDIENT</t>
        </is>
      </c>
      <c r="B1" s="1" t="inlineStr">
        <is>
          <t>TYPE</t>
        </is>
      </c>
      <c r="C1" s="1" t="inlineStr">
        <is>
          <t>RECIPE AMT</t>
        </is>
      </c>
      <c r="D1" s="1" t="inlineStr">
        <is>
          <t>RECIPE UNIT</t>
        </is>
      </c>
      <c r="E1" s="1" t="inlineStr">
        <is>
          <t>SG</t>
        </is>
      </c>
      <c r="F1" s="1" t="inlineStr">
        <is>
          <t>BUY UNIT</t>
        </is>
      </c>
      <c r="G1" s="1" t="inlineStr">
        <is>
          <t>PRICE/BUY UNIT</t>
        </is>
      </c>
      <c r="H1" s="1" t="inlineStr">
        <is>
          <t>MOQ</t>
        </is>
      </c>
      <c r="I1" s="1" t="inlineStr">
        <is>
          <t>ON HAND</t>
        </is>
      </c>
    </row>
    <row r="2">
      <c r="A2" s="2" t="inlineStr">
        <is>
          <t>Treated Water (RO)</t>
        </is>
      </c>
      <c r="B2" s="3" t="inlineStr">
        <is>
          <t>Liquid</t>
        </is>
      </c>
      <c r="C2" s="3" t="n">
        <v>245</v>
      </c>
      <c r="D2" s="3" t="inlineStr">
        <is>
          <t>g</t>
        </is>
      </c>
      <c r="E2" s="3" t="n">
        <v>1</v>
      </c>
      <c r="F2" s="3" t="inlineStr">
        <is>
          <t>gal</t>
        </is>
      </c>
      <c r="G2" s="3" t="n">
        <v>0.1</v>
      </c>
      <c r="H2" s="3" t="n">
        <v>1</v>
      </c>
      <c r="I2" s="3" t="n">
        <v>0</v>
      </c>
    </row>
    <row r="3">
      <c r="A3" s="2" t="inlineStr">
        <is>
          <t>Potassium Benzoate</t>
        </is>
      </c>
      <c r="B3" s="3" t="inlineStr">
        <is>
          <t>Liquid</t>
        </is>
      </c>
      <c r="C3" s="3" t="n">
        <v>0.075</v>
      </c>
      <c r="D3" s="3" t="inlineStr">
        <is>
          <t>g</t>
        </is>
      </c>
      <c r="E3" s="3" t="n">
        <v>1</v>
      </c>
      <c r="F3" s="3" t="inlineStr">
        <is>
          <t>kg</t>
        </is>
      </c>
      <c r="G3" s="3" t="n">
        <v>4.82</v>
      </c>
      <c r="H3" s="3" t="n">
        <v>55</v>
      </c>
      <c r="I3" s="3" t="n">
        <v>0</v>
      </c>
    </row>
    <row r="4">
      <c r="A4" s="2" t="inlineStr">
        <is>
          <t>Potassium Sorbate</t>
        </is>
      </c>
      <c r="B4" s="3" t="inlineStr">
        <is>
          <t>Liquid</t>
        </is>
      </c>
      <c r="C4" s="3" t="n">
        <v>0.075</v>
      </c>
      <c r="D4" s="3" t="inlineStr">
        <is>
          <t>g</t>
        </is>
      </c>
      <c r="E4" s="3" t="n">
        <v>1</v>
      </c>
      <c r="F4" s="3" t="inlineStr">
        <is>
          <t>kg</t>
        </is>
      </c>
      <c r="G4" s="3" t="n">
        <v>2.86</v>
      </c>
      <c r="H4" s="3" t="n">
        <v>55</v>
      </c>
      <c r="I4" s="3" t="n">
        <v>0</v>
      </c>
    </row>
    <row r="5">
      <c r="A5" s="2" t="inlineStr">
        <is>
          <t>GNT USA Grape Blue Shade 183922</t>
        </is>
      </c>
      <c r="B5" s="3" t="inlineStr">
        <is>
          <t>Liquid</t>
        </is>
      </c>
      <c r="C5" s="3" t="n">
        <v>0.126</v>
      </c>
      <c r="D5" s="3" t="inlineStr">
        <is>
          <t>g</t>
        </is>
      </c>
      <c r="E5" s="3" t="n">
        <v>1</v>
      </c>
      <c r="F5" s="3" t="inlineStr">
        <is>
          <t>kg</t>
        </is>
      </c>
      <c r="G5" s="4" t="n">
        <v>55</v>
      </c>
      <c r="H5" s="3" t="n">
        <v>25</v>
      </c>
      <c r="I5" s="3" t="n">
        <v>0</v>
      </c>
    </row>
    <row r="6">
      <c r="A6" s="2" t="inlineStr">
        <is>
          <t>CBD Hydrobond 685449</t>
        </is>
      </c>
      <c r="B6" s="3" t="inlineStr">
        <is>
          <t>Liquid</t>
        </is>
      </c>
      <c r="C6" s="3" t="n">
        <v>0.05</v>
      </c>
      <c r="D6" s="3" t="inlineStr">
        <is>
          <t>g</t>
        </is>
      </c>
      <c r="E6" s="3" t="n">
        <v>1</v>
      </c>
      <c r="F6" s="3" t="inlineStr">
        <is>
          <t>kg</t>
        </is>
      </c>
      <c r="G6" s="4" t="n">
        <v>300</v>
      </c>
      <c r="H6" s="3" t="n">
        <v>1</v>
      </c>
      <c r="I6" s="3" t="n">
        <v>0</v>
      </c>
    </row>
    <row r="7">
      <c r="A7" s="2" t="inlineStr">
        <is>
          <t>Bossen Lychee Conc. Syrup 535SYPLYCH-SM</t>
        </is>
      </c>
      <c r="B7" s="3" t="inlineStr">
        <is>
          <t>Liquid</t>
        </is>
      </c>
      <c r="C7" s="3" t="n">
        <v>1.25</v>
      </c>
      <c r="D7" s="3" t="inlineStr">
        <is>
          <t>g</t>
        </is>
      </c>
      <c r="E7" s="3" t="n">
        <v>1</v>
      </c>
      <c r="F7" s="3" t="inlineStr">
        <is>
          <t>lbs</t>
        </is>
      </c>
      <c r="G7" s="3" t="n">
        <v>15.45</v>
      </c>
      <c r="H7" s="3" t="n">
        <v>5.5</v>
      </c>
      <c r="I7" s="3" t="n">
        <v>0</v>
      </c>
    </row>
    <row r="8">
      <c r="A8" s="2" t="inlineStr">
        <is>
          <t>Talin PG95 T0001 (Naturex)</t>
        </is>
      </c>
      <c r="B8" s="3" t="inlineStr">
        <is>
          <t>Liquid</t>
        </is>
      </c>
      <c r="C8" s="3" t="n">
        <v>0.35</v>
      </c>
      <c r="D8" s="3" t="inlineStr">
        <is>
          <t>g</t>
        </is>
      </c>
      <c r="E8" s="3" t="n">
        <v>1</v>
      </c>
      <c r="F8" s="3" t="inlineStr">
        <is>
          <t>kg</t>
        </is>
      </c>
      <c r="G8" s="4" t="n">
        <v>200</v>
      </c>
      <c r="H8" s="3" t="n">
        <v>1</v>
      </c>
      <c r="I8" s="3" t="n">
        <v>0</v>
      </c>
    </row>
    <row r="9">
      <c r="A9" s="2" t="inlineStr">
        <is>
          <t>Crystalline Fructose</t>
        </is>
      </c>
      <c r="B9" s="3" t="inlineStr">
        <is>
          <t>Liquid</t>
        </is>
      </c>
      <c r="C9" s="3" t="n">
        <v>1</v>
      </c>
      <c r="D9" s="3" t="inlineStr">
        <is>
          <t>g</t>
        </is>
      </c>
      <c r="E9" s="3" t="n">
        <v>1</v>
      </c>
      <c r="F9" s="3" t="inlineStr">
        <is>
          <t>lbs</t>
        </is>
      </c>
      <c r="G9" s="4" t="n">
        <v>1.2</v>
      </c>
      <c r="H9" s="3" t="n">
        <v>50</v>
      </c>
      <c r="I9" s="3" t="n">
        <v>0</v>
      </c>
    </row>
    <row r="10">
      <c r="A10" s="2" t="inlineStr">
        <is>
          <t>Citric Acid</t>
        </is>
      </c>
      <c r="B10" s="3" t="inlineStr">
        <is>
          <t>Liquid</t>
        </is>
      </c>
      <c r="C10" s="3" t="n">
        <v>0.23</v>
      </c>
      <c r="D10" s="3" t="inlineStr">
        <is>
          <t>g</t>
        </is>
      </c>
      <c r="E10" s="3" t="n">
        <v>1</v>
      </c>
      <c r="F10" s="3" t="inlineStr">
        <is>
          <t>lbs</t>
        </is>
      </c>
      <c r="G10" s="3" t="n">
        <v>1.52</v>
      </c>
      <c r="H10" s="3" t="n">
        <v>50</v>
      </c>
      <c r="I10" s="3" t="n">
        <v>0</v>
      </c>
    </row>
    <row r="11">
      <c r="A11" s="2" t="inlineStr">
        <is>
          <t>Ultra Masking Nat 380223 (Gold Coast)</t>
        </is>
      </c>
      <c r="B11" s="3" t="inlineStr">
        <is>
          <t>Liquid</t>
        </is>
      </c>
      <c r="C11" s="3" t="n">
        <v>0.38</v>
      </c>
      <c r="D11" s="3" t="inlineStr">
        <is>
          <t>g</t>
        </is>
      </c>
      <c r="E11" s="3" t="n">
        <v>1</v>
      </c>
      <c r="F11" s="3" t="inlineStr">
        <is>
          <t>gal</t>
        </is>
      </c>
      <c r="G11" s="3" t="n">
        <v>70</v>
      </c>
      <c r="H11" s="3" t="n">
        <v>1</v>
      </c>
      <c r="I11" s="3" t="n">
        <v>0</v>
      </c>
    </row>
    <row r="12">
      <c r="A12" s="2" t="inlineStr">
        <is>
          <t>Natural Lychee 348692 (Gold Coast)</t>
        </is>
      </c>
      <c r="B12" s="3" t="inlineStr">
        <is>
          <t>Liquid</t>
        </is>
      </c>
      <c r="C12" s="3" t="n">
        <v>0.55</v>
      </c>
      <c r="D12" s="3" t="inlineStr">
        <is>
          <t>g</t>
        </is>
      </c>
      <c r="E12" s="3" t="n">
        <v>1</v>
      </c>
      <c r="F12" s="3" t="inlineStr">
        <is>
          <t>gal</t>
        </is>
      </c>
      <c r="G12" s="3" t="n">
        <v>70</v>
      </c>
      <c r="H12" s="3" t="n">
        <v>1</v>
      </c>
      <c r="I12" s="3" t="n">
        <v>0</v>
      </c>
    </row>
    <row r="13">
      <c r="A13" s="2" t="inlineStr">
        <is>
          <t>Organic Lemon 601032 (Gold Coast)</t>
        </is>
      </c>
      <c r="B13" s="3" t="inlineStr">
        <is>
          <t>Liquid</t>
        </is>
      </c>
      <c r="C13" s="3" t="n">
        <v>0.15</v>
      </c>
      <c r="D13" s="3" t="inlineStr">
        <is>
          <t>g</t>
        </is>
      </c>
      <c r="E13" s="3" t="n">
        <v>1</v>
      </c>
      <c r="F13" s="3" t="inlineStr">
        <is>
          <t>gal</t>
        </is>
      </c>
      <c r="G13" s="3" t="n">
        <v>70</v>
      </c>
      <c r="H13" s="3" t="n">
        <v>1</v>
      </c>
      <c r="I13" s="3" t="n">
        <v>0</v>
      </c>
    </row>
    <row r="14">
      <c r="A14" s="2" t="inlineStr">
        <is>
          <t>Pink Grapefruit 606817 (Gold Coast)</t>
        </is>
      </c>
      <c r="B14" s="3" t="inlineStr">
        <is>
          <t>Liquid</t>
        </is>
      </c>
      <c r="C14" s="3" t="n">
        <v>0.48</v>
      </c>
      <c r="D14" s="3" t="inlineStr">
        <is>
          <t>g</t>
        </is>
      </c>
      <c r="E14" s="3" t="n">
        <v>1</v>
      </c>
      <c r="F14" s="3" t="inlineStr">
        <is>
          <t>gal</t>
        </is>
      </c>
      <c r="G14" s="3" t="n">
        <v>70</v>
      </c>
      <c r="H14" s="3" t="n">
        <v>1</v>
      </c>
      <c r="I14" s="3" t="n">
        <v>0</v>
      </c>
    </row>
    <row r="15">
      <c r="A15" s="2" t="inlineStr">
        <is>
          <t>Signature Beverage Enhancer (Blue Pacific)</t>
        </is>
      </c>
      <c r="B15" s="3" t="inlineStr">
        <is>
          <t>Liquid</t>
        </is>
      </c>
      <c r="C15" s="3" t="n">
        <v>0.08</v>
      </c>
      <c r="D15" s="3" t="inlineStr">
        <is>
          <t>g</t>
        </is>
      </c>
      <c r="E15" s="3" t="n">
        <v>1</v>
      </c>
      <c r="F15" s="3" t="inlineStr">
        <is>
          <t>lbs</t>
        </is>
      </c>
      <c r="G15" s="4" t="n">
        <v>34</v>
      </c>
      <c r="H15" s="3" t="n">
        <v>1</v>
      </c>
      <c r="I15" s="3" t="n">
        <v>0</v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6" customWidth="1" min="5" max="5"/>
    <col width="10" customWidth="1" min="6" max="6"/>
    <col width="15" customWidth="1" min="7" max="7"/>
    <col width="8" customWidth="1" min="8" max="8"/>
    <col width="9" customWidth="1" min="9" max="9"/>
  </cols>
  <sheetData>
    <row r="1">
      <c r="A1" s="1" t="inlineStr">
        <is>
          <t>INGREDIENT</t>
        </is>
      </c>
      <c r="B1" s="1" t="inlineStr">
        <is>
          <t>TYPE</t>
        </is>
      </c>
      <c r="C1" s="1" t="inlineStr">
        <is>
          <t>RECIPE AMT</t>
        </is>
      </c>
      <c r="D1" s="1" t="inlineStr">
        <is>
          <t>RECIPE UNIT</t>
        </is>
      </c>
      <c r="E1" s="1" t="inlineStr">
        <is>
          <t>SG</t>
        </is>
      </c>
      <c r="F1" s="1" t="inlineStr">
        <is>
          <t>BUY UNIT</t>
        </is>
      </c>
      <c r="G1" s="1" t="inlineStr">
        <is>
          <t>PRICE/BUY UNIT</t>
        </is>
      </c>
      <c r="H1" s="1" t="inlineStr">
        <is>
          <t>MOQ</t>
        </is>
      </c>
      <c r="I1" s="1" t="inlineStr">
        <is>
          <t>ON HAND</t>
        </is>
      </c>
    </row>
    <row r="2">
      <c r="A2" s="2" t="inlineStr">
        <is>
          <t>Treated Water (RO)</t>
        </is>
      </c>
      <c r="B2" s="3" t="inlineStr">
        <is>
          <t>Liquid</t>
        </is>
      </c>
      <c r="C2" s="3" t="n">
        <v>227.2</v>
      </c>
      <c r="D2" s="3" t="inlineStr">
        <is>
          <t>g</t>
        </is>
      </c>
      <c r="E2" s="3" t="n">
        <v>1</v>
      </c>
      <c r="F2" s="3" t="inlineStr">
        <is>
          <t>gal</t>
        </is>
      </c>
      <c r="G2" s="3" t="n">
        <v>0.1</v>
      </c>
      <c r="H2" s="3" t="n">
        <v>1</v>
      </c>
      <c r="I2" s="3" t="n">
        <v>0</v>
      </c>
    </row>
    <row r="3">
      <c r="A3" s="2" t="inlineStr">
        <is>
          <t>Chamomile Hydrosol (DOFON)</t>
        </is>
      </c>
      <c r="B3" s="3" t="inlineStr">
        <is>
          <t>Liquid</t>
        </is>
      </c>
      <c r="C3" s="3" t="n">
        <v>16.8</v>
      </c>
      <c r="D3" s="3" t="inlineStr">
        <is>
          <t>g</t>
        </is>
      </c>
      <c r="E3" s="3" t="n">
        <v>1</v>
      </c>
      <c r="F3" s="3" t="inlineStr">
        <is>
          <t>gal</t>
        </is>
      </c>
      <c r="G3" s="4" t="n">
        <v>50</v>
      </c>
      <c r="H3" s="3" t="n">
        <v>5</v>
      </c>
      <c r="I3" s="3" t="n">
        <v>0</v>
      </c>
    </row>
    <row r="4">
      <c r="A4" s="2" t="inlineStr">
        <is>
          <t>Potassium Benzoate</t>
        </is>
      </c>
      <c r="B4" s="3" t="inlineStr">
        <is>
          <t>Liquid</t>
        </is>
      </c>
      <c r="C4" s="3" t="n">
        <v>0.075</v>
      </c>
      <c r="D4" s="3" t="inlineStr">
        <is>
          <t>g</t>
        </is>
      </c>
      <c r="E4" s="3" t="n">
        <v>1</v>
      </c>
      <c r="F4" s="3" t="inlineStr">
        <is>
          <t>kg</t>
        </is>
      </c>
      <c r="G4" s="3" t="n">
        <v>4.82</v>
      </c>
      <c r="H4" s="3" t="n">
        <v>55</v>
      </c>
      <c r="I4" s="3" t="n">
        <v>0</v>
      </c>
    </row>
    <row r="5">
      <c r="A5" s="2" t="inlineStr">
        <is>
          <t>Potassium Sorbate</t>
        </is>
      </c>
      <c r="B5" s="3" t="inlineStr">
        <is>
          <t>Liquid</t>
        </is>
      </c>
      <c r="C5" s="3" t="n">
        <v>0.075</v>
      </c>
      <c r="D5" s="3" t="inlineStr">
        <is>
          <t>g</t>
        </is>
      </c>
      <c r="E5" s="3" t="n">
        <v>1</v>
      </c>
      <c r="F5" s="3" t="inlineStr">
        <is>
          <t>kg</t>
        </is>
      </c>
      <c r="G5" s="3" t="n">
        <v>2.86</v>
      </c>
      <c r="H5" s="3" t="n">
        <v>55</v>
      </c>
      <c r="I5" s="3" t="n">
        <v>0</v>
      </c>
    </row>
    <row r="6">
      <c r="A6" s="2" t="inlineStr">
        <is>
          <t>GNT USA Grape Blue Shade 183922</t>
        </is>
      </c>
      <c r="B6" s="3" t="inlineStr">
        <is>
          <t>Liquid</t>
        </is>
      </c>
      <c r="C6" s="3" t="n">
        <v>0.226</v>
      </c>
      <c r="D6" s="3" t="inlineStr">
        <is>
          <t>g</t>
        </is>
      </c>
      <c r="E6" s="3" t="n">
        <v>1</v>
      </c>
      <c r="F6" s="3" t="inlineStr">
        <is>
          <t>kg</t>
        </is>
      </c>
      <c r="G6" s="4" t="n">
        <v>55</v>
      </c>
      <c r="H6" s="3" t="n">
        <v>25</v>
      </c>
      <c r="I6" s="3" t="n">
        <v>0</v>
      </c>
    </row>
    <row r="7">
      <c r="A7" s="2" t="inlineStr">
        <is>
          <t>CBD Hydrobond 685449</t>
        </is>
      </c>
      <c r="B7" s="3" t="inlineStr">
        <is>
          <t>Liquid</t>
        </is>
      </c>
      <c r="C7" s="3" t="n">
        <v>0.05</v>
      </c>
      <c r="D7" s="3" t="inlineStr">
        <is>
          <t>g</t>
        </is>
      </c>
      <c r="E7" s="3" t="n">
        <v>1</v>
      </c>
      <c r="F7" s="3" t="inlineStr">
        <is>
          <t>kg</t>
        </is>
      </c>
      <c r="G7" s="4" t="n">
        <v>300</v>
      </c>
      <c r="H7" s="3" t="n">
        <v>1</v>
      </c>
      <c r="I7" s="3" t="n">
        <v>0</v>
      </c>
    </row>
    <row r="8">
      <c r="A8" s="2" t="inlineStr">
        <is>
          <t>Talin PG95 T0001 (Naturex)</t>
        </is>
      </c>
      <c r="B8" s="3" t="inlineStr">
        <is>
          <t>Liquid</t>
        </is>
      </c>
      <c r="C8" s="3" t="n">
        <v>0.45</v>
      </c>
      <c r="D8" s="3" t="inlineStr">
        <is>
          <t>g</t>
        </is>
      </c>
      <c r="E8" s="3" t="n">
        <v>1</v>
      </c>
      <c r="F8" s="3" t="inlineStr">
        <is>
          <t>kg</t>
        </is>
      </c>
      <c r="G8" s="4" t="n">
        <v>200</v>
      </c>
      <c r="H8" s="3" t="n">
        <v>1</v>
      </c>
      <c r="I8" s="3" t="n">
        <v>0</v>
      </c>
    </row>
    <row r="9">
      <c r="A9" s="2" t="inlineStr">
        <is>
          <t>Crystalline Fructose</t>
        </is>
      </c>
      <c r="B9" s="3" t="inlineStr">
        <is>
          <t>Liquid</t>
        </is>
      </c>
      <c r="C9" s="3" t="n">
        <v>1</v>
      </c>
      <c r="D9" s="3" t="inlineStr">
        <is>
          <t>g</t>
        </is>
      </c>
      <c r="E9" s="3" t="n">
        <v>1</v>
      </c>
      <c r="F9" s="3" t="inlineStr">
        <is>
          <t>lbs</t>
        </is>
      </c>
      <c r="G9" s="4" t="n">
        <v>1.2</v>
      </c>
      <c r="H9" s="3" t="n">
        <v>50</v>
      </c>
      <c r="I9" s="3" t="n">
        <v>0</v>
      </c>
    </row>
    <row r="10">
      <c r="A10" s="2" t="inlineStr">
        <is>
          <t>Citric Acid</t>
        </is>
      </c>
      <c r="B10" s="3" t="inlineStr">
        <is>
          <t>Liquid</t>
        </is>
      </c>
      <c r="C10" s="3" t="n">
        <v>0.33</v>
      </c>
      <c r="D10" s="3" t="inlineStr">
        <is>
          <t>g</t>
        </is>
      </c>
      <c r="E10" s="3" t="n">
        <v>1</v>
      </c>
      <c r="F10" s="3" t="inlineStr">
        <is>
          <t>lbs</t>
        </is>
      </c>
      <c r="G10" s="3" t="n">
        <v>1.52</v>
      </c>
      <c r="H10" s="3" t="n">
        <v>50</v>
      </c>
      <c r="I10" s="3" t="n">
        <v>0</v>
      </c>
    </row>
    <row r="11">
      <c r="A11" s="2" t="inlineStr">
        <is>
          <t>Ultra Masking Nat 380223 (Gold Coast)</t>
        </is>
      </c>
      <c r="B11" s="3" t="inlineStr">
        <is>
          <t>Liquid</t>
        </is>
      </c>
      <c r="C11" s="3" t="n">
        <v>0.38</v>
      </c>
      <c r="D11" s="3" t="inlineStr">
        <is>
          <t>g</t>
        </is>
      </c>
      <c r="E11" s="3" t="n">
        <v>1</v>
      </c>
      <c r="F11" s="3" t="inlineStr">
        <is>
          <t>gal</t>
        </is>
      </c>
      <c r="G11" s="3" t="n">
        <v>70</v>
      </c>
      <c r="H11" s="3" t="n">
        <v>1</v>
      </c>
      <c r="I11" s="3" t="n">
        <v>0</v>
      </c>
    </row>
    <row r="12">
      <c r="A12" s="2" t="inlineStr">
        <is>
          <t>Organic Lemon 601032 (Gold Coast)</t>
        </is>
      </c>
      <c r="B12" s="3" t="inlineStr">
        <is>
          <t>Liquid</t>
        </is>
      </c>
      <c r="C12" s="3" t="n">
        <v>0.23</v>
      </c>
      <c r="D12" s="3" t="inlineStr">
        <is>
          <t>g</t>
        </is>
      </c>
      <c r="E12" s="3" t="n">
        <v>1</v>
      </c>
      <c r="F12" s="3" t="inlineStr">
        <is>
          <t>gal</t>
        </is>
      </c>
      <c r="G12" s="3" t="n">
        <v>70</v>
      </c>
      <c r="H12" s="3" t="n">
        <v>1</v>
      </c>
      <c r="I12" s="3" t="n">
        <v>0</v>
      </c>
    </row>
    <row r="13">
      <c r="A13" s="2" t="inlineStr">
        <is>
          <t>Natural Raspberry Flavor 161443 (Gold Coast)</t>
        </is>
      </c>
      <c r="B13" s="3" t="inlineStr">
        <is>
          <t>Liquid</t>
        </is>
      </c>
      <c r="C13" s="3" t="n">
        <v>0.68</v>
      </c>
      <c r="D13" s="3" t="inlineStr">
        <is>
          <t>g</t>
        </is>
      </c>
      <c r="E13" s="3" t="n">
        <v>1</v>
      </c>
      <c r="F13" s="3" t="inlineStr">
        <is>
          <t>gal</t>
        </is>
      </c>
      <c r="G13" s="3" t="n">
        <v>70</v>
      </c>
      <c r="H13" s="3" t="n">
        <v>1</v>
      </c>
      <c r="I13" s="3" t="n">
        <v>0</v>
      </c>
    </row>
    <row r="14">
      <c r="A14" s="2" t="inlineStr">
        <is>
          <t>Organic Chamomile Flavor 357484 (Gold Coast)</t>
        </is>
      </c>
      <c r="B14" s="3" t="inlineStr">
        <is>
          <t>Liquid</t>
        </is>
      </c>
      <c r="C14" s="3" t="n">
        <v>0.35</v>
      </c>
      <c r="D14" s="3" t="inlineStr">
        <is>
          <t>g</t>
        </is>
      </c>
      <c r="E14" s="3" t="n">
        <v>1</v>
      </c>
      <c r="F14" s="3" t="inlineStr">
        <is>
          <t>gal</t>
        </is>
      </c>
      <c r="G14" s="3" t="n">
        <v>70</v>
      </c>
      <c r="H14" s="3" t="n">
        <v>1</v>
      </c>
      <c r="I14" s="3" t="n">
        <v>0</v>
      </c>
    </row>
    <row r="15">
      <c r="A15" s="2" t="inlineStr">
        <is>
          <t>Organic Cranberry Flavor 606856 (Gold Coast)</t>
        </is>
      </c>
      <c r="B15" s="3" t="inlineStr">
        <is>
          <t>Liquid</t>
        </is>
      </c>
      <c r="C15" s="3" t="n">
        <v>0.68</v>
      </c>
      <c r="D15" s="3" t="inlineStr">
        <is>
          <t>g</t>
        </is>
      </c>
      <c r="E15" s="3" t="n">
        <v>1</v>
      </c>
      <c r="F15" s="3" t="inlineStr">
        <is>
          <t>gal</t>
        </is>
      </c>
      <c r="G15" s="3" t="n">
        <v>70</v>
      </c>
      <c r="H15" s="3" t="n">
        <v>1</v>
      </c>
      <c r="I15" s="3" t="n">
        <v>0</v>
      </c>
    </row>
    <row r="16">
      <c r="A16" s="2" t="inlineStr">
        <is>
          <t>Signature Beverage Enhancer (Blue Pacific)</t>
        </is>
      </c>
      <c r="B16" s="3" t="inlineStr">
        <is>
          <t>Liquid</t>
        </is>
      </c>
      <c r="C16" s="3" t="n">
        <v>0.12</v>
      </c>
      <c r="D16" s="3" t="inlineStr">
        <is>
          <t>g</t>
        </is>
      </c>
      <c r="E16" s="3" t="n">
        <v>1</v>
      </c>
      <c r="F16" s="3" t="inlineStr">
        <is>
          <t>lbs</t>
        </is>
      </c>
      <c r="G16" s="4" t="n">
        <v>34</v>
      </c>
      <c r="H16" s="3" t="n">
        <v>1</v>
      </c>
      <c r="I16" s="3" t="n">
        <v>0</v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6" customWidth="1" min="5" max="5"/>
    <col width="10" customWidth="1" min="6" max="6"/>
    <col width="15" customWidth="1" min="7" max="7"/>
    <col width="8" customWidth="1" min="8" max="8"/>
    <col width="9" customWidth="1" min="9" max="9"/>
  </cols>
  <sheetData>
    <row r="1">
      <c r="A1" s="1" t="inlineStr">
        <is>
          <t>INGREDIENT</t>
        </is>
      </c>
      <c r="B1" s="1" t="inlineStr">
        <is>
          <t>TYPE</t>
        </is>
      </c>
      <c r="C1" s="1" t="inlineStr">
        <is>
          <t>RECIPE AMT</t>
        </is>
      </c>
      <c r="D1" s="1" t="inlineStr">
        <is>
          <t>RECIPE UNIT</t>
        </is>
      </c>
      <c r="E1" s="1" t="inlineStr">
        <is>
          <t>SG</t>
        </is>
      </c>
      <c r="F1" s="1" t="inlineStr">
        <is>
          <t>BUY UNIT</t>
        </is>
      </c>
      <c r="G1" s="1" t="inlineStr">
        <is>
          <t>PRICE/BUY UNIT</t>
        </is>
      </c>
      <c r="H1" s="1" t="inlineStr">
        <is>
          <t>MOQ</t>
        </is>
      </c>
      <c r="I1" s="1" t="inlineStr">
        <is>
          <t>ON HAND</t>
        </is>
      </c>
    </row>
    <row r="2">
      <c r="A2" s="2" t="inlineStr">
        <is>
          <t>Treated Water (RO)</t>
        </is>
      </c>
      <c r="B2" s="3" t="inlineStr">
        <is>
          <t>Liquid</t>
        </is>
      </c>
      <c r="C2" s="3" t="n">
        <v>242</v>
      </c>
      <c r="D2" s="3" t="inlineStr">
        <is>
          <t>g</t>
        </is>
      </c>
      <c r="E2" s="3" t="n">
        <v>1</v>
      </c>
      <c r="F2" s="3" t="inlineStr">
        <is>
          <t>gal</t>
        </is>
      </c>
      <c r="G2" s="3" t="n">
        <v>0.1</v>
      </c>
      <c r="H2" s="3" t="n">
        <v>1</v>
      </c>
      <c r="I2" s="3" t="n">
        <v>0</v>
      </c>
    </row>
    <row r="3">
      <c r="A3" s="2" t="inlineStr">
        <is>
          <t>Potassium Benzoate</t>
        </is>
      </c>
      <c r="B3" s="3" t="inlineStr">
        <is>
          <t>Liquid</t>
        </is>
      </c>
      <c r="C3" s="3" t="n">
        <v>0.075</v>
      </c>
      <c r="D3" s="3" t="inlineStr">
        <is>
          <t>g</t>
        </is>
      </c>
      <c r="E3" s="3" t="n">
        <v>1</v>
      </c>
      <c r="F3" s="3" t="inlineStr">
        <is>
          <t>kg</t>
        </is>
      </c>
      <c r="G3" s="3" t="n">
        <v>4.82</v>
      </c>
      <c r="H3" s="3" t="n">
        <v>55</v>
      </c>
      <c r="I3" s="3" t="n">
        <v>0</v>
      </c>
    </row>
    <row r="4">
      <c r="A4" s="2" t="inlineStr">
        <is>
          <t>Potassium Sorbate</t>
        </is>
      </c>
      <c r="B4" s="3" t="inlineStr">
        <is>
          <t>Liquid</t>
        </is>
      </c>
      <c r="C4" s="3" t="n">
        <v>0.075</v>
      </c>
      <c r="D4" s="3" t="inlineStr">
        <is>
          <t>g</t>
        </is>
      </c>
      <c r="E4" s="3" t="n">
        <v>1</v>
      </c>
      <c r="F4" s="3" t="inlineStr">
        <is>
          <t>kg</t>
        </is>
      </c>
      <c r="G4" s="3" t="n">
        <v>2.86</v>
      </c>
      <c r="H4" s="3" t="n">
        <v>55</v>
      </c>
      <c r="I4" s="3" t="n">
        <v>0</v>
      </c>
    </row>
    <row r="5">
      <c r="A5" s="2" t="inlineStr">
        <is>
          <t>Sodium Copper Chlorophyllin CVA101808 (Naturex)</t>
        </is>
      </c>
      <c r="B5" s="3" t="inlineStr">
        <is>
          <t>Liquid</t>
        </is>
      </c>
      <c r="C5" s="3" t="n">
        <v>0.126</v>
      </c>
      <c r="D5" s="3" t="inlineStr">
        <is>
          <t>g</t>
        </is>
      </c>
      <c r="E5" s="3" t="n">
        <v>1</v>
      </c>
      <c r="F5" s="3" t="inlineStr">
        <is>
          <t>kg</t>
        </is>
      </c>
      <c r="G5" s="4" t="n">
        <v>60</v>
      </c>
      <c r="H5" s="3" t="n">
        <v>25</v>
      </c>
      <c r="I5" s="3" t="n">
        <v>0</v>
      </c>
    </row>
    <row r="6">
      <c r="A6" s="2" t="inlineStr">
        <is>
          <t>CBD Hydrobond 685449</t>
        </is>
      </c>
      <c r="B6" s="3" t="inlineStr">
        <is>
          <t>Liquid</t>
        </is>
      </c>
      <c r="C6" s="3" t="n">
        <v>0.05</v>
      </c>
      <c r="D6" s="3" t="inlineStr">
        <is>
          <t>g</t>
        </is>
      </c>
      <c r="E6" s="3" t="n">
        <v>1</v>
      </c>
      <c r="F6" s="3" t="inlineStr">
        <is>
          <t>kg</t>
        </is>
      </c>
      <c r="G6" s="4" t="n">
        <v>300</v>
      </c>
      <c r="H6" s="3" t="n">
        <v>1</v>
      </c>
      <c r="I6" s="3" t="n">
        <v>0</v>
      </c>
    </row>
    <row r="7">
      <c r="A7" s="2" t="inlineStr">
        <is>
          <t>Talin PG95 T0001 (Naturex)</t>
        </is>
      </c>
      <c r="B7" s="3" t="inlineStr">
        <is>
          <t>Liquid</t>
        </is>
      </c>
      <c r="C7" s="3" t="n">
        <v>0.35</v>
      </c>
      <c r="D7" s="3" t="inlineStr">
        <is>
          <t>g</t>
        </is>
      </c>
      <c r="E7" s="3" t="n">
        <v>1</v>
      </c>
      <c r="F7" s="3" t="inlineStr">
        <is>
          <t>kg</t>
        </is>
      </c>
      <c r="G7" s="4" t="n">
        <v>200</v>
      </c>
      <c r="H7" s="3" t="n">
        <v>1</v>
      </c>
      <c r="I7" s="3" t="n">
        <v>0</v>
      </c>
    </row>
    <row r="8">
      <c r="A8" s="2" t="inlineStr">
        <is>
          <t>Crystalline Fructose</t>
        </is>
      </c>
      <c r="B8" s="3" t="inlineStr">
        <is>
          <t>Liquid</t>
        </is>
      </c>
      <c r="C8" s="3" t="n">
        <v>1</v>
      </c>
      <c r="D8" s="3" t="inlineStr">
        <is>
          <t>g</t>
        </is>
      </c>
      <c r="E8" s="3" t="n">
        <v>1</v>
      </c>
      <c r="F8" s="3" t="inlineStr">
        <is>
          <t>lbs</t>
        </is>
      </c>
      <c r="G8" s="4" t="n">
        <v>1.2</v>
      </c>
      <c r="H8" s="3" t="n">
        <v>50</v>
      </c>
      <c r="I8" s="3" t="n">
        <v>0</v>
      </c>
    </row>
    <row r="9">
      <c r="A9" s="2" t="inlineStr">
        <is>
          <t>Citric Acid</t>
        </is>
      </c>
      <c r="B9" s="3" t="inlineStr">
        <is>
          <t>Liquid</t>
        </is>
      </c>
      <c r="C9" s="3" t="n">
        <v>0.23</v>
      </c>
      <c r="D9" s="3" t="inlineStr">
        <is>
          <t>g</t>
        </is>
      </c>
      <c r="E9" s="3" t="n">
        <v>1</v>
      </c>
      <c r="F9" s="3" t="inlineStr">
        <is>
          <t>lbs</t>
        </is>
      </c>
      <c r="G9" s="3" t="n">
        <v>1.52</v>
      </c>
      <c r="H9" s="3" t="n">
        <v>50</v>
      </c>
      <c r="I9" s="3" t="n">
        <v>0</v>
      </c>
    </row>
    <row r="10">
      <c r="A10" s="2" t="inlineStr">
        <is>
          <t>Ultra Masking Nat 380223 (Gold Coast)</t>
        </is>
      </c>
      <c r="B10" s="3" t="inlineStr">
        <is>
          <t>Liquid</t>
        </is>
      </c>
      <c r="C10" s="3" t="n">
        <v>0.8</v>
      </c>
      <c r="D10" s="3" t="inlineStr">
        <is>
          <t>g</t>
        </is>
      </c>
      <c r="E10" s="3" t="n">
        <v>1</v>
      </c>
      <c r="F10" s="3" t="inlineStr">
        <is>
          <t>gal</t>
        </is>
      </c>
      <c r="G10" s="3" t="n">
        <v>70</v>
      </c>
      <c r="H10" s="3" t="n">
        <v>1</v>
      </c>
      <c r="I10" s="3" t="n">
        <v>0</v>
      </c>
    </row>
    <row r="11">
      <c r="A11" s="2" t="inlineStr">
        <is>
          <t>Organic Cranberry Flavor 606856 (Gold Coast)</t>
        </is>
      </c>
      <c r="B11" s="3" t="inlineStr">
        <is>
          <t>Liquid</t>
        </is>
      </c>
      <c r="C11" s="3" t="n">
        <v>0.6</v>
      </c>
      <c r="D11" s="3" t="inlineStr">
        <is>
          <t>g</t>
        </is>
      </c>
      <c r="E11" s="3" t="n">
        <v>1</v>
      </c>
      <c r="F11" s="3" t="inlineStr">
        <is>
          <t>gal</t>
        </is>
      </c>
      <c r="G11" s="3" t="n">
        <v>70</v>
      </c>
      <c r="H11" s="3" t="n">
        <v>1</v>
      </c>
      <c r="I11" s="3" t="n">
        <v>0</v>
      </c>
    </row>
    <row r="12">
      <c r="A12" s="2" t="inlineStr">
        <is>
          <t>Organic Lime Flavor 309465 (Gold Coast)</t>
        </is>
      </c>
      <c r="B12" s="3" t="inlineStr">
        <is>
          <t>Liquid</t>
        </is>
      </c>
      <c r="C12" s="3" t="n">
        <v>0.095</v>
      </c>
      <c r="D12" s="3" t="inlineStr">
        <is>
          <t>g</t>
        </is>
      </c>
      <c r="E12" s="3" t="n">
        <v>1</v>
      </c>
      <c r="F12" s="3" t="inlineStr">
        <is>
          <t>gal</t>
        </is>
      </c>
      <c r="G12" s="3" t="n">
        <v>70</v>
      </c>
      <c r="H12" s="3" t="n">
        <v>1</v>
      </c>
      <c r="I12" s="3" t="n">
        <v>0</v>
      </c>
    </row>
    <row r="13">
      <c r="A13" s="2" t="inlineStr">
        <is>
          <t>Natural Cucumber Flavor 336018 (Gold Coast)</t>
        </is>
      </c>
      <c r="B13" s="3" t="inlineStr">
        <is>
          <t>Liquid</t>
        </is>
      </c>
      <c r="C13" s="3" t="n">
        <v>0.24</v>
      </c>
      <c r="D13" s="3" t="inlineStr">
        <is>
          <t>g</t>
        </is>
      </c>
      <c r="E13" s="3" t="n">
        <v>1</v>
      </c>
      <c r="F13" s="3" t="inlineStr">
        <is>
          <t>gal</t>
        </is>
      </c>
      <c r="G13" s="3" t="n">
        <v>70</v>
      </c>
      <c r="H13" s="3" t="n">
        <v>1</v>
      </c>
      <c r="I13" s="3" t="n">
        <v>0</v>
      </c>
    </row>
    <row r="14">
      <c r="A14" s="2" t="inlineStr">
        <is>
          <t>Natural Cucumber S1511015 (FONA)</t>
        </is>
      </c>
      <c r="B14" s="3" t="inlineStr">
        <is>
          <t>Liquid</t>
        </is>
      </c>
      <c r="C14" s="3" t="n">
        <v>0.48</v>
      </c>
      <c r="D14" s="3" t="inlineStr">
        <is>
          <t>g</t>
        </is>
      </c>
      <c r="E14" s="3" t="n">
        <v>1</v>
      </c>
      <c r="F14" s="3" t="inlineStr">
        <is>
          <t>gal</t>
        </is>
      </c>
      <c r="G14" s="3" t="n">
        <v>70</v>
      </c>
      <c r="H14" s="3" t="n">
        <v>1</v>
      </c>
      <c r="I14" s="3" t="n">
        <v>0</v>
      </c>
    </row>
    <row r="15">
      <c r="A15" s="2" t="inlineStr">
        <is>
          <t>Signature Beverage Enhancer (Blue Pacific)</t>
        </is>
      </c>
      <c r="B15" s="3" t="inlineStr">
        <is>
          <t>Liquid</t>
        </is>
      </c>
      <c r="C15" s="3" t="n">
        <v>0.08</v>
      </c>
      <c r="D15" s="3" t="inlineStr">
        <is>
          <t>g</t>
        </is>
      </c>
      <c r="E15" s="3" t="n">
        <v>1</v>
      </c>
      <c r="F15" s="3" t="inlineStr">
        <is>
          <t>lbs</t>
        </is>
      </c>
      <c r="G15" s="4" t="n">
        <v>34</v>
      </c>
      <c r="H15" s="3" t="n">
        <v>1</v>
      </c>
      <c r="I15" s="3" t="n">
        <v>0</v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6" customWidth="1" min="5" max="5"/>
    <col width="10" customWidth="1" min="6" max="6"/>
    <col width="15" customWidth="1" min="7" max="7"/>
    <col width="8" customWidth="1" min="8" max="8"/>
    <col width="9" customWidth="1" min="9" max="9"/>
  </cols>
  <sheetData>
    <row r="1">
      <c r="A1" s="1" t="inlineStr">
        <is>
          <t>INGREDIENT</t>
        </is>
      </c>
      <c r="B1" s="1" t="inlineStr">
        <is>
          <t>TYPE</t>
        </is>
      </c>
      <c r="C1" s="1" t="inlineStr">
        <is>
          <t>RECIPE AMT</t>
        </is>
      </c>
      <c r="D1" s="1" t="inlineStr">
        <is>
          <t>RECIPE UNIT</t>
        </is>
      </c>
      <c r="E1" s="1" t="inlineStr">
        <is>
          <t>SG</t>
        </is>
      </c>
      <c r="F1" s="1" t="inlineStr">
        <is>
          <t>BUY UNIT</t>
        </is>
      </c>
      <c r="G1" s="1" t="inlineStr">
        <is>
          <t>PRICE/BUY UNIT</t>
        </is>
      </c>
      <c r="H1" s="1" t="inlineStr">
        <is>
          <t>MOQ</t>
        </is>
      </c>
      <c r="I1" s="1" t="inlineStr">
        <is>
          <t>ON HAND</t>
        </is>
      </c>
    </row>
    <row r="2">
      <c r="A2" s="2" t="inlineStr">
        <is>
          <t>Treated Water (RO)</t>
        </is>
      </c>
      <c r="B2" s="3" t="inlineStr">
        <is>
          <t>Liquid</t>
        </is>
      </c>
      <c r="C2" s="3" t="n">
        <v>233.2</v>
      </c>
      <c r="D2" s="3" t="inlineStr">
        <is>
          <t>g</t>
        </is>
      </c>
      <c r="E2" s="3" t="n">
        <v>1</v>
      </c>
      <c r="F2" s="3" t="inlineStr">
        <is>
          <t>gal</t>
        </is>
      </c>
      <c r="G2" s="3" t="n">
        <v>0.1</v>
      </c>
      <c r="H2" s="3" t="n">
        <v>1</v>
      </c>
      <c r="I2" s="3" t="n">
        <v>0</v>
      </c>
    </row>
    <row r="3">
      <c r="A3" s="2" t="inlineStr">
        <is>
          <t>Vegetable Glycerin (Cacee)</t>
        </is>
      </c>
      <c r="B3" s="3" t="inlineStr">
        <is>
          <t>Liquid</t>
        </is>
      </c>
      <c r="C3" s="3" t="n">
        <v>12.1</v>
      </c>
      <c r="D3" s="3" t="inlineStr">
        <is>
          <t>g</t>
        </is>
      </c>
      <c r="E3" s="3" t="n">
        <v>1</v>
      </c>
      <c r="F3" s="3" t="inlineStr">
        <is>
          <t>lbs</t>
        </is>
      </c>
      <c r="G3" s="4" t="n">
        <v>2</v>
      </c>
      <c r="H3" s="3" t="n">
        <v>50</v>
      </c>
      <c r="I3" s="3" t="n">
        <v>0</v>
      </c>
    </row>
    <row r="4">
      <c r="A4" s="2" t="inlineStr">
        <is>
          <t>Potassium Benzoate</t>
        </is>
      </c>
      <c r="B4" s="3" t="inlineStr">
        <is>
          <t>Liquid</t>
        </is>
      </c>
      <c r="C4" s="3" t="n">
        <v>0.075</v>
      </c>
      <c r="D4" s="3" t="inlineStr">
        <is>
          <t>g</t>
        </is>
      </c>
      <c r="E4" s="3" t="n">
        <v>1</v>
      </c>
      <c r="F4" s="3" t="inlineStr">
        <is>
          <t>kg</t>
        </is>
      </c>
      <c r="G4" s="3" t="n">
        <v>4.82</v>
      </c>
      <c r="H4" s="3" t="n">
        <v>55</v>
      </c>
      <c r="I4" s="3" t="n">
        <v>0</v>
      </c>
    </row>
    <row r="5">
      <c r="A5" s="2" t="inlineStr">
        <is>
          <t>Potassium Sorbate</t>
        </is>
      </c>
      <c r="B5" s="3" t="inlineStr">
        <is>
          <t>Liquid</t>
        </is>
      </c>
      <c r="C5" s="3" t="n">
        <v>0.075</v>
      </c>
      <c r="D5" s="3" t="inlineStr">
        <is>
          <t>g</t>
        </is>
      </c>
      <c r="E5" s="3" t="n">
        <v>1</v>
      </c>
      <c r="F5" s="3" t="inlineStr">
        <is>
          <t>kg</t>
        </is>
      </c>
      <c r="G5" s="3" t="n">
        <v>2.86</v>
      </c>
      <c r="H5" s="3" t="n">
        <v>55</v>
      </c>
      <c r="I5" s="3" t="n">
        <v>0</v>
      </c>
    </row>
    <row r="6">
      <c r="A6" s="2" t="inlineStr">
        <is>
          <t>Sodium Copper Chlorophyllin CA101808 (Naturex)</t>
        </is>
      </c>
      <c r="B6" s="3" t="inlineStr">
        <is>
          <t>Liquid</t>
        </is>
      </c>
      <c r="C6" s="3" t="n">
        <v>0.246</v>
      </c>
      <c r="D6" s="3" t="inlineStr">
        <is>
          <t>g</t>
        </is>
      </c>
      <c r="E6" s="3" t="n">
        <v>1</v>
      </c>
      <c r="F6" s="3" t="inlineStr">
        <is>
          <t>kg</t>
        </is>
      </c>
      <c r="G6" s="4" t="n">
        <v>60</v>
      </c>
      <c r="H6" s="3" t="n">
        <v>25</v>
      </c>
      <c r="I6" s="3" t="n">
        <v>0</v>
      </c>
    </row>
    <row r="7">
      <c r="A7" s="2" t="inlineStr">
        <is>
          <t>CBD Hydrobond 685449</t>
        </is>
      </c>
      <c r="B7" s="3" t="inlineStr">
        <is>
          <t>Liquid</t>
        </is>
      </c>
      <c r="C7" s="3" t="n">
        <v>0.05</v>
      </c>
      <c r="D7" s="3" t="inlineStr">
        <is>
          <t>g</t>
        </is>
      </c>
      <c r="E7" s="3" t="n">
        <v>1</v>
      </c>
      <c r="F7" s="3" t="inlineStr">
        <is>
          <t>kg</t>
        </is>
      </c>
      <c r="G7" s="4" t="n">
        <v>300</v>
      </c>
      <c r="H7" s="3" t="n">
        <v>1</v>
      </c>
      <c r="I7" s="3" t="n">
        <v>0</v>
      </c>
    </row>
    <row r="8">
      <c r="A8" s="2" t="inlineStr">
        <is>
          <t>Talin PG95 T0001 (Naturex)</t>
        </is>
      </c>
      <c r="B8" s="3" t="inlineStr">
        <is>
          <t>Liquid</t>
        </is>
      </c>
      <c r="C8" s="3" t="n">
        <v>0.45</v>
      </c>
      <c r="D8" s="3" t="inlineStr">
        <is>
          <t>g</t>
        </is>
      </c>
      <c r="E8" s="3" t="n">
        <v>1</v>
      </c>
      <c r="F8" s="3" t="inlineStr">
        <is>
          <t>kg</t>
        </is>
      </c>
      <c r="G8" s="4" t="n">
        <v>200</v>
      </c>
      <c r="H8" s="3" t="n">
        <v>1</v>
      </c>
      <c r="I8" s="3" t="n">
        <v>0</v>
      </c>
    </row>
    <row r="9">
      <c r="A9" s="2" t="inlineStr">
        <is>
          <t>Crystalline Fructose</t>
        </is>
      </c>
      <c r="B9" s="3" t="inlineStr">
        <is>
          <t>Liquid</t>
        </is>
      </c>
      <c r="C9" s="3" t="n">
        <v>1</v>
      </c>
      <c r="D9" s="3" t="inlineStr">
        <is>
          <t>g</t>
        </is>
      </c>
      <c r="E9" s="3" t="n">
        <v>1</v>
      </c>
      <c r="F9" s="3" t="inlineStr">
        <is>
          <t>lbs</t>
        </is>
      </c>
      <c r="G9" s="4" t="n">
        <v>1.2</v>
      </c>
      <c r="H9" s="3" t="n">
        <v>50</v>
      </c>
      <c r="I9" s="3" t="n">
        <v>0</v>
      </c>
    </row>
    <row r="10">
      <c r="A10" s="2" t="inlineStr">
        <is>
          <t>Citric Acid</t>
        </is>
      </c>
      <c r="B10" s="3" t="inlineStr">
        <is>
          <t>Liquid</t>
        </is>
      </c>
      <c r="C10" s="3" t="n">
        <v>0.15</v>
      </c>
      <c r="D10" s="3" t="inlineStr">
        <is>
          <t>g</t>
        </is>
      </c>
      <c r="E10" s="3" t="n">
        <v>1</v>
      </c>
      <c r="F10" s="3" t="inlineStr">
        <is>
          <t>lbs</t>
        </is>
      </c>
      <c r="G10" s="3" t="n">
        <v>1.52</v>
      </c>
      <c r="H10" s="3" t="n">
        <v>50</v>
      </c>
      <c r="I10" s="3" t="n">
        <v>0</v>
      </c>
    </row>
    <row r="11">
      <c r="A11" s="2" t="inlineStr">
        <is>
          <t>Ultra Masking Nat 380223 (Gold Coast)</t>
        </is>
      </c>
      <c r="B11" s="3" t="inlineStr">
        <is>
          <t>Liquid</t>
        </is>
      </c>
      <c r="C11" s="3" t="n">
        <v>0.38</v>
      </c>
      <c r="D11" s="3" t="inlineStr">
        <is>
          <t>g</t>
        </is>
      </c>
      <c r="E11" s="3" t="n">
        <v>1</v>
      </c>
      <c r="F11" s="3" t="inlineStr">
        <is>
          <t>gal</t>
        </is>
      </c>
      <c r="G11" s="3" t="n">
        <v>70</v>
      </c>
      <c r="H11" s="3" t="n">
        <v>1</v>
      </c>
      <c r="I11" s="3" t="n">
        <v>0</v>
      </c>
    </row>
    <row r="12">
      <c r="A12" s="2" t="inlineStr">
        <is>
          <t>Organic Lemon 601032 (Gold Coast)</t>
        </is>
      </c>
      <c r="B12" s="3" t="inlineStr">
        <is>
          <t>Liquid</t>
        </is>
      </c>
      <c r="C12" s="3" t="n">
        <v>0.23</v>
      </c>
      <c r="D12" s="3" t="inlineStr">
        <is>
          <t>g</t>
        </is>
      </c>
      <c r="E12" s="3" t="n">
        <v>1</v>
      </c>
      <c r="F12" s="3" t="inlineStr">
        <is>
          <t>gal</t>
        </is>
      </c>
      <c r="G12" s="3" t="n">
        <v>70</v>
      </c>
      <c r="H12" s="3" t="n">
        <v>1</v>
      </c>
      <c r="I12" s="3" t="n">
        <v>0</v>
      </c>
    </row>
    <row r="13">
      <c r="A13" s="2" t="inlineStr">
        <is>
          <t>Organic Lime 309465 (Gold Coast)</t>
        </is>
      </c>
      <c r="B13" s="3" t="inlineStr">
        <is>
          <t>Liquid</t>
        </is>
      </c>
      <c r="C13" s="3" t="n">
        <v>0.28</v>
      </c>
      <c r="D13" s="3" t="inlineStr">
        <is>
          <t>g</t>
        </is>
      </c>
      <c r="E13" s="3" t="n">
        <v>1</v>
      </c>
      <c r="F13" s="3" t="inlineStr">
        <is>
          <t>gal</t>
        </is>
      </c>
      <c r="G13" s="3" t="n">
        <v>70</v>
      </c>
      <c r="H13" s="3" t="n">
        <v>1</v>
      </c>
      <c r="I13" s="3" t="n">
        <v>0</v>
      </c>
    </row>
    <row r="14">
      <c r="A14" s="2" t="inlineStr">
        <is>
          <t>Natural Bergamot Flavor (Gold Coast)</t>
        </is>
      </c>
      <c r="B14" s="3" t="inlineStr">
        <is>
          <t>Liquid</t>
        </is>
      </c>
      <c r="C14" s="3" t="n">
        <v>0.35</v>
      </c>
      <c r="D14" s="3" t="inlineStr">
        <is>
          <t>g</t>
        </is>
      </c>
      <c r="E14" s="3" t="n">
        <v>1</v>
      </c>
      <c r="F14" s="3" t="inlineStr">
        <is>
          <t>gal</t>
        </is>
      </c>
      <c r="G14" s="3" t="n">
        <v>70</v>
      </c>
      <c r="H14" s="3" t="n">
        <v>1</v>
      </c>
      <c r="I14" s="3" t="n">
        <v>0</v>
      </c>
    </row>
    <row r="15">
      <c r="A15" s="2" t="inlineStr">
        <is>
          <t>Organic Cranberry Flavor 606856 (Gold Coast)</t>
        </is>
      </c>
      <c r="B15" s="3" t="inlineStr">
        <is>
          <t>Liquid</t>
        </is>
      </c>
      <c r="C15" s="3" t="n">
        <v>0.38</v>
      </c>
      <c r="D15" s="3" t="inlineStr">
        <is>
          <t>g</t>
        </is>
      </c>
      <c r="E15" s="3" t="n">
        <v>1</v>
      </c>
      <c r="F15" s="3" t="inlineStr">
        <is>
          <t>gal</t>
        </is>
      </c>
      <c r="G15" s="3" t="n">
        <v>70</v>
      </c>
      <c r="H15" s="3" t="n">
        <v>1</v>
      </c>
      <c r="I15" s="3" t="n">
        <v>0</v>
      </c>
    </row>
    <row r="16">
      <c r="A16" s="2" t="inlineStr">
        <is>
          <t>Signature Beverage Enhancer (Blue Pacific)</t>
        </is>
      </c>
      <c r="B16" s="3" t="inlineStr">
        <is>
          <t>Liquid</t>
        </is>
      </c>
      <c r="C16" s="3" t="n">
        <v>0.12</v>
      </c>
      <c r="D16" s="3" t="inlineStr">
        <is>
          <t>g</t>
        </is>
      </c>
      <c r="E16" s="3" t="n">
        <v>1</v>
      </c>
      <c r="F16" s="3" t="inlineStr">
        <is>
          <t>lbs</t>
        </is>
      </c>
      <c r="G16" s="4" t="n">
        <v>34</v>
      </c>
      <c r="H16" s="3" t="n">
        <v>1</v>
      </c>
      <c r="I16" s="3" t="n">
        <v>0</v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5" t="inlineStr">
        <is>
          <t>Ingredient Cost per Can — live from formula tabs</t>
        </is>
      </c>
    </row>
    <row r="2">
      <c r="A2" s="6" t="inlineStr">
        <is>
          <t>250 mL fill | 12-pack | cost = recipe g converted to buy unit (via SG) x price/buy unit</t>
        </is>
      </c>
    </row>
    <row r="4">
      <c r="A4" s="7" t="inlineStr">
        <is>
          <t>Showtime Elixir</t>
        </is>
      </c>
      <c r="B4" s="7" t="inlineStr">
        <is>
          <t>Cost/can $</t>
        </is>
      </c>
    </row>
    <row r="5">
      <c r="A5">
        <f>'Showtime Elixir'!A2</f>
        <v/>
      </c>
      <c r="B5" s="8">
        <f>'Showtime Elixir'!G2*IFS('Showtime Elixir'!F2="kg",'Showtime Elixir'!C2/1000,'Showtime Elixir'!F2="lbs",'Showtime Elixir'!C2/453.592,'Showtime Elixir'!F2="g",'Showtime Elixir'!C2,'Showtime Elixir'!F2="oz",'Showtime Elixir'!C2/28.3495,'Showtime Elixir'!F2="mL",'Showtime Elixir'!C2/'Showtime Elixir'!E2,'Showtime Elixir'!F2="L",'Showtime Elixir'!C2/('Showtime Elixir'!E2*1000),'Showtime Elixir'!F2="gal",'Showtime Elixir'!C2/('Showtime Elixir'!E2*1000)/3.78541)</f>
        <v/>
      </c>
    </row>
    <row r="6">
      <c r="A6">
        <f>'Showtime Elixir'!A3</f>
        <v/>
      </c>
      <c r="B6" s="8">
        <f>'Showtime Elixir'!G3*IFS('Showtime Elixir'!F3="kg",'Showtime Elixir'!C3/1000,'Showtime Elixir'!F3="lbs",'Showtime Elixir'!C3/453.592,'Showtime Elixir'!F3="g",'Showtime Elixir'!C3,'Showtime Elixir'!F3="oz",'Showtime Elixir'!C3/28.3495,'Showtime Elixir'!F3="mL",'Showtime Elixir'!C3/'Showtime Elixir'!E3,'Showtime Elixir'!F3="L",'Showtime Elixir'!C3/('Showtime Elixir'!E3*1000),'Showtime Elixir'!F3="gal",'Showtime Elixir'!C3/('Showtime Elixir'!E3*1000)/3.78541)</f>
        <v/>
      </c>
    </row>
    <row r="7">
      <c r="A7">
        <f>'Showtime Elixir'!A4</f>
        <v/>
      </c>
      <c r="B7" s="8">
        <f>'Showtime Elixir'!G4*IFS('Showtime Elixir'!F4="kg",'Showtime Elixir'!C4/1000,'Showtime Elixir'!F4="lbs",'Showtime Elixir'!C4/453.592,'Showtime Elixir'!F4="g",'Showtime Elixir'!C4,'Showtime Elixir'!F4="oz",'Showtime Elixir'!C4/28.3495,'Showtime Elixir'!F4="mL",'Showtime Elixir'!C4/'Showtime Elixir'!E4,'Showtime Elixir'!F4="L",'Showtime Elixir'!C4/('Showtime Elixir'!E4*1000),'Showtime Elixir'!F4="gal",'Showtime Elixir'!C4/('Showtime Elixir'!E4*1000)/3.78541)</f>
        <v/>
      </c>
    </row>
    <row r="8">
      <c r="A8">
        <f>'Showtime Elixir'!A5</f>
        <v/>
      </c>
      <c r="B8" s="8">
        <f>'Showtime Elixir'!G5*IFS('Showtime Elixir'!F5="kg",'Showtime Elixir'!C5/1000,'Showtime Elixir'!F5="lbs",'Showtime Elixir'!C5/453.592,'Showtime Elixir'!F5="g",'Showtime Elixir'!C5,'Showtime Elixir'!F5="oz",'Showtime Elixir'!C5/28.3495,'Showtime Elixir'!F5="mL",'Showtime Elixir'!C5/'Showtime Elixir'!E5,'Showtime Elixir'!F5="L",'Showtime Elixir'!C5/('Showtime Elixir'!E5*1000),'Showtime Elixir'!F5="gal",'Showtime Elixir'!C5/('Showtime Elixir'!E5*1000)/3.78541)</f>
        <v/>
      </c>
    </row>
    <row r="9">
      <c r="A9">
        <f>'Showtime Elixir'!A6</f>
        <v/>
      </c>
      <c r="B9" s="8">
        <f>'Showtime Elixir'!G6*IFS('Showtime Elixir'!F6="kg",'Showtime Elixir'!C6/1000,'Showtime Elixir'!F6="lbs",'Showtime Elixir'!C6/453.592,'Showtime Elixir'!F6="g",'Showtime Elixir'!C6,'Showtime Elixir'!F6="oz",'Showtime Elixir'!C6/28.3495,'Showtime Elixir'!F6="mL",'Showtime Elixir'!C6/'Showtime Elixir'!E6,'Showtime Elixir'!F6="L",'Showtime Elixir'!C6/('Showtime Elixir'!E6*1000),'Showtime Elixir'!F6="gal",'Showtime Elixir'!C6/('Showtime Elixir'!E6*1000)/3.78541)</f>
        <v/>
      </c>
    </row>
    <row r="10">
      <c r="A10">
        <f>'Showtime Elixir'!A7</f>
        <v/>
      </c>
      <c r="B10" s="8">
        <f>'Showtime Elixir'!G7*IFS('Showtime Elixir'!F7="kg",'Showtime Elixir'!C7/1000,'Showtime Elixir'!F7="lbs",'Showtime Elixir'!C7/453.592,'Showtime Elixir'!F7="g",'Showtime Elixir'!C7,'Showtime Elixir'!F7="oz",'Showtime Elixir'!C7/28.3495,'Showtime Elixir'!F7="mL",'Showtime Elixir'!C7/'Showtime Elixir'!E7,'Showtime Elixir'!F7="L",'Showtime Elixir'!C7/('Showtime Elixir'!E7*1000),'Showtime Elixir'!F7="gal",'Showtime Elixir'!C7/('Showtime Elixir'!E7*1000)/3.78541)</f>
        <v/>
      </c>
    </row>
    <row r="11">
      <c r="A11">
        <f>'Showtime Elixir'!A8</f>
        <v/>
      </c>
      <c r="B11" s="8">
        <f>'Showtime Elixir'!G8*IFS('Showtime Elixir'!F8="kg",'Showtime Elixir'!C8/1000,'Showtime Elixir'!F8="lbs",'Showtime Elixir'!C8/453.592,'Showtime Elixir'!F8="g",'Showtime Elixir'!C8,'Showtime Elixir'!F8="oz",'Showtime Elixir'!C8/28.3495,'Showtime Elixir'!F8="mL",'Showtime Elixir'!C8/'Showtime Elixir'!E8,'Showtime Elixir'!F8="L",'Showtime Elixir'!C8/('Showtime Elixir'!E8*1000),'Showtime Elixir'!F8="gal",'Showtime Elixir'!C8/('Showtime Elixir'!E8*1000)/3.78541)</f>
        <v/>
      </c>
    </row>
    <row r="12">
      <c r="A12">
        <f>'Showtime Elixir'!A9</f>
        <v/>
      </c>
      <c r="B12" s="8">
        <f>'Showtime Elixir'!G9*IFS('Showtime Elixir'!F9="kg",'Showtime Elixir'!C9/1000,'Showtime Elixir'!F9="lbs",'Showtime Elixir'!C9/453.592,'Showtime Elixir'!F9="g",'Showtime Elixir'!C9,'Showtime Elixir'!F9="oz",'Showtime Elixir'!C9/28.3495,'Showtime Elixir'!F9="mL",'Showtime Elixir'!C9/'Showtime Elixir'!E9,'Showtime Elixir'!F9="L",'Showtime Elixir'!C9/('Showtime Elixir'!E9*1000),'Showtime Elixir'!F9="gal",'Showtime Elixir'!C9/('Showtime Elixir'!E9*1000)/3.78541)</f>
        <v/>
      </c>
    </row>
    <row r="13">
      <c r="A13">
        <f>'Showtime Elixir'!A10</f>
        <v/>
      </c>
      <c r="B13" s="8">
        <f>'Showtime Elixir'!G10*IFS('Showtime Elixir'!F10="kg",'Showtime Elixir'!C10/1000,'Showtime Elixir'!F10="lbs",'Showtime Elixir'!C10/453.592,'Showtime Elixir'!F10="g",'Showtime Elixir'!C10,'Showtime Elixir'!F10="oz",'Showtime Elixir'!C10/28.3495,'Showtime Elixir'!F10="mL",'Showtime Elixir'!C10/'Showtime Elixir'!E10,'Showtime Elixir'!F10="L",'Showtime Elixir'!C10/('Showtime Elixir'!E10*1000),'Showtime Elixir'!F10="gal",'Showtime Elixir'!C10/('Showtime Elixir'!E10*1000)/3.78541)</f>
        <v/>
      </c>
    </row>
    <row r="14">
      <c r="A14">
        <f>'Showtime Elixir'!A11</f>
        <v/>
      </c>
      <c r="B14" s="8">
        <f>'Showtime Elixir'!G11*IFS('Showtime Elixir'!F11="kg",'Showtime Elixir'!C11/1000,'Showtime Elixir'!F11="lbs",'Showtime Elixir'!C11/453.592,'Showtime Elixir'!F11="g",'Showtime Elixir'!C11,'Showtime Elixir'!F11="oz",'Showtime Elixir'!C11/28.3495,'Showtime Elixir'!F11="mL",'Showtime Elixir'!C11/'Showtime Elixir'!E11,'Showtime Elixir'!F11="L",'Showtime Elixir'!C11/('Showtime Elixir'!E11*1000),'Showtime Elixir'!F11="gal",'Showtime Elixir'!C11/('Showtime Elixir'!E11*1000)/3.78541)</f>
        <v/>
      </c>
    </row>
    <row r="15">
      <c r="A15">
        <f>'Showtime Elixir'!A12</f>
        <v/>
      </c>
      <c r="B15" s="8">
        <f>'Showtime Elixir'!G12*IFS('Showtime Elixir'!F12="kg",'Showtime Elixir'!C12/1000,'Showtime Elixir'!F12="lbs",'Showtime Elixir'!C12/453.592,'Showtime Elixir'!F12="g",'Showtime Elixir'!C12,'Showtime Elixir'!F12="oz",'Showtime Elixir'!C12/28.3495,'Showtime Elixir'!F12="mL",'Showtime Elixir'!C12/'Showtime Elixir'!E12,'Showtime Elixir'!F12="L",'Showtime Elixir'!C12/('Showtime Elixir'!E12*1000),'Showtime Elixir'!F12="gal",'Showtime Elixir'!C12/('Showtime Elixir'!E12*1000)/3.78541)</f>
        <v/>
      </c>
    </row>
    <row r="16">
      <c r="A16">
        <f>'Showtime Elixir'!A13</f>
        <v/>
      </c>
      <c r="B16" s="8">
        <f>'Showtime Elixir'!G13*IFS('Showtime Elixir'!F13="kg",'Showtime Elixir'!C13/1000,'Showtime Elixir'!F13="lbs",'Showtime Elixir'!C13/453.592,'Showtime Elixir'!F13="g",'Showtime Elixir'!C13,'Showtime Elixir'!F13="oz",'Showtime Elixir'!C13/28.3495,'Showtime Elixir'!F13="mL",'Showtime Elixir'!C13/'Showtime Elixir'!E13,'Showtime Elixir'!F13="L",'Showtime Elixir'!C13/('Showtime Elixir'!E13*1000),'Showtime Elixir'!F13="gal",'Showtime Elixir'!C13/('Showtime Elixir'!E13*1000)/3.78541)</f>
        <v/>
      </c>
    </row>
    <row r="17">
      <c r="A17">
        <f>'Showtime Elixir'!A14</f>
        <v/>
      </c>
      <c r="B17" s="8">
        <f>'Showtime Elixir'!G14*IFS('Showtime Elixir'!F14="kg",'Showtime Elixir'!C14/1000,'Showtime Elixir'!F14="lbs",'Showtime Elixir'!C14/453.592,'Showtime Elixir'!F14="g",'Showtime Elixir'!C14,'Showtime Elixir'!F14="oz",'Showtime Elixir'!C14/28.3495,'Showtime Elixir'!F14="mL",'Showtime Elixir'!C14/'Showtime Elixir'!E14,'Showtime Elixir'!F14="L",'Showtime Elixir'!C14/('Showtime Elixir'!E14*1000),'Showtime Elixir'!F14="gal",'Showtime Elixir'!C14/('Showtime Elixir'!E14*1000)/3.78541)</f>
        <v/>
      </c>
    </row>
    <row r="18">
      <c r="A18">
        <f>'Showtime Elixir'!A15</f>
        <v/>
      </c>
      <c r="B18" s="8">
        <f>'Showtime Elixir'!G15*IFS('Showtime Elixir'!F15="kg",'Showtime Elixir'!C15/1000,'Showtime Elixir'!F15="lbs",'Showtime Elixir'!C15/453.592,'Showtime Elixir'!F15="g",'Showtime Elixir'!C15,'Showtime Elixir'!F15="oz",'Showtime Elixir'!C15/28.3495,'Showtime Elixir'!F15="mL",'Showtime Elixir'!C15/'Showtime Elixir'!E15,'Showtime Elixir'!F15="L",'Showtime Elixir'!C15/('Showtime Elixir'!E15*1000),'Showtime Elixir'!F15="gal",'Showtime Elixir'!C15/('Showtime Elixir'!E15*1000)/3.78541)</f>
        <v/>
      </c>
    </row>
    <row r="19">
      <c r="A19" s="7" t="inlineStr">
        <is>
          <t>Subtotal / can</t>
        </is>
      </c>
      <c r="B19" s="9">
        <f>SUM(B5:B18)</f>
        <v/>
      </c>
    </row>
    <row r="20">
      <c r="A20" s="10" t="inlineStr">
        <is>
          <t>+ 5% production loss</t>
        </is>
      </c>
      <c r="B20" s="11">
        <f>B19*1.05</f>
        <v/>
      </c>
    </row>
    <row r="21">
      <c r="A21" s="7" t="inlineStr">
        <is>
          <t>Cost / 12-pack (with loss)</t>
        </is>
      </c>
      <c r="B21" s="12">
        <f>B20*12</f>
        <v/>
      </c>
    </row>
    <row r="23">
      <c r="A23" s="7" t="inlineStr">
        <is>
          <t>Serenity</t>
        </is>
      </c>
      <c r="B23" s="7" t="inlineStr">
        <is>
          <t>Cost/can $</t>
        </is>
      </c>
    </row>
    <row r="24">
      <c r="A24">
        <f>'Serenity'!A2</f>
        <v/>
      </c>
      <c r="B24" s="8">
        <f>'Serenity'!G2*IFS('Serenity'!F2="kg",'Serenity'!C2/1000,'Serenity'!F2="lbs",'Serenity'!C2/453.592,'Serenity'!F2="g",'Serenity'!C2,'Serenity'!F2="oz",'Serenity'!C2/28.3495,'Serenity'!F2="mL",'Serenity'!C2/'Serenity'!E2,'Serenity'!F2="L",'Serenity'!C2/('Serenity'!E2*1000),'Serenity'!F2="gal",'Serenity'!C2/('Serenity'!E2*1000)/3.78541)</f>
        <v/>
      </c>
    </row>
    <row r="25">
      <c r="A25">
        <f>'Serenity'!A3</f>
        <v/>
      </c>
      <c r="B25" s="8">
        <f>'Serenity'!G3*IFS('Serenity'!F3="kg",'Serenity'!C3/1000,'Serenity'!F3="lbs",'Serenity'!C3/453.592,'Serenity'!F3="g",'Serenity'!C3,'Serenity'!F3="oz",'Serenity'!C3/28.3495,'Serenity'!F3="mL",'Serenity'!C3/'Serenity'!E3,'Serenity'!F3="L",'Serenity'!C3/('Serenity'!E3*1000),'Serenity'!F3="gal",'Serenity'!C3/('Serenity'!E3*1000)/3.78541)</f>
        <v/>
      </c>
    </row>
    <row r="26">
      <c r="A26">
        <f>'Serenity'!A4</f>
        <v/>
      </c>
      <c r="B26" s="8">
        <f>'Serenity'!G4*IFS('Serenity'!F4="kg",'Serenity'!C4/1000,'Serenity'!F4="lbs",'Serenity'!C4/453.592,'Serenity'!F4="g",'Serenity'!C4,'Serenity'!F4="oz",'Serenity'!C4/28.3495,'Serenity'!F4="mL",'Serenity'!C4/'Serenity'!E4,'Serenity'!F4="L",'Serenity'!C4/('Serenity'!E4*1000),'Serenity'!F4="gal",'Serenity'!C4/('Serenity'!E4*1000)/3.78541)</f>
        <v/>
      </c>
    </row>
    <row r="27">
      <c r="A27">
        <f>'Serenity'!A5</f>
        <v/>
      </c>
      <c r="B27" s="8">
        <f>'Serenity'!G5*IFS('Serenity'!F5="kg",'Serenity'!C5/1000,'Serenity'!F5="lbs",'Serenity'!C5/453.592,'Serenity'!F5="g",'Serenity'!C5,'Serenity'!F5="oz",'Serenity'!C5/28.3495,'Serenity'!F5="mL",'Serenity'!C5/'Serenity'!E5,'Serenity'!F5="L",'Serenity'!C5/('Serenity'!E5*1000),'Serenity'!F5="gal",'Serenity'!C5/('Serenity'!E5*1000)/3.78541)</f>
        <v/>
      </c>
    </row>
    <row r="28">
      <c r="A28">
        <f>'Serenity'!A6</f>
        <v/>
      </c>
      <c r="B28" s="8">
        <f>'Serenity'!G6*IFS('Serenity'!F6="kg",'Serenity'!C6/1000,'Serenity'!F6="lbs",'Serenity'!C6/453.592,'Serenity'!F6="g",'Serenity'!C6,'Serenity'!F6="oz",'Serenity'!C6/28.3495,'Serenity'!F6="mL",'Serenity'!C6/'Serenity'!E6,'Serenity'!F6="L",'Serenity'!C6/('Serenity'!E6*1000),'Serenity'!F6="gal",'Serenity'!C6/('Serenity'!E6*1000)/3.78541)</f>
        <v/>
      </c>
    </row>
    <row r="29">
      <c r="A29">
        <f>'Serenity'!A7</f>
        <v/>
      </c>
      <c r="B29" s="8">
        <f>'Serenity'!G7*IFS('Serenity'!F7="kg",'Serenity'!C7/1000,'Serenity'!F7="lbs",'Serenity'!C7/453.592,'Serenity'!F7="g",'Serenity'!C7,'Serenity'!F7="oz",'Serenity'!C7/28.3495,'Serenity'!F7="mL",'Serenity'!C7/'Serenity'!E7,'Serenity'!F7="L",'Serenity'!C7/('Serenity'!E7*1000),'Serenity'!F7="gal",'Serenity'!C7/('Serenity'!E7*1000)/3.78541)</f>
        <v/>
      </c>
    </row>
    <row r="30">
      <c r="A30">
        <f>'Serenity'!A8</f>
        <v/>
      </c>
      <c r="B30" s="8">
        <f>'Serenity'!G8*IFS('Serenity'!F8="kg",'Serenity'!C8/1000,'Serenity'!F8="lbs",'Serenity'!C8/453.592,'Serenity'!F8="g",'Serenity'!C8,'Serenity'!F8="oz",'Serenity'!C8/28.3495,'Serenity'!F8="mL",'Serenity'!C8/'Serenity'!E8,'Serenity'!F8="L",'Serenity'!C8/('Serenity'!E8*1000),'Serenity'!F8="gal",'Serenity'!C8/('Serenity'!E8*1000)/3.78541)</f>
        <v/>
      </c>
    </row>
    <row r="31">
      <c r="A31">
        <f>'Serenity'!A9</f>
        <v/>
      </c>
      <c r="B31" s="8">
        <f>'Serenity'!G9*IFS('Serenity'!F9="kg",'Serenity'!C9/1000,'Serenity'!F9="lbs",'Serenity'!C9/453.592,'Serenity'!F9="g",'Serenity'!C9,'Serenity'!F9="oz",'Serenity'!C9/28.3495,'Serenity'!F9="mL",'Serenity'!C9/'Serenity'!E9,'Serenity'!F9="L",'Serenity'!C9/('Serenity'!E9*1000),'Serenity'!F9="gal",'Serenity'!C9/('Serenity'!E9*1000)/3.78541)</f>
        <v/>
      </c>
    </row>
    <row r="32">
      <c r="A32">
        <f>'Serenity'!A10</f>
        <v/>
      </c>
      <c r="B32" s="8">
        <f>'Serenity'!G10*IFS('Serenity'!F10="kg",'Serenity'!C10/1000,'Serenity'!F10="lbs",'Serenity'!C10/453.592,'Serenity'!F10="g",'Serenity'!C10,'Serenity'!F10="oz",'Serenity'!C10/28.3495,'Serenity'!F10="mL",'Serenity'!C10/'Serenity'!E10,'Serenity'!F10="L",'Serenity'!C10/('Serenity'!E10*1000),'Serenity'!F10="gal",'Serenity'!C10/('Serenity'!E10*1000)/3.78541)</f>
        <v/>
      </c>
    </row>
    <row r="33">
      <c r="A33">
        <f>'Serenity'!A11</f>
        <v/>
      </c>
      <c r="B33" s="8">
        <f>'Serenity'!G11*IFS('Serenity'!F11="kg",'Serenity'!C11/1000,'Serenity'!F11="lbs",'Serenity'!C11/453.592,'Serenity'!F11="g",'Serenity'!C11,'Serenity'!F11="oz",'Serenity'!C11/28.3495,'Serenity'!F11="mL",'Serenity'!C11/'Serenity'!E11,'Serenity'!F11="L",'Serenity'!C11/('Serenity'!E11*1000),'Serenity'!F11="gal",'Serenity'!C11/('Serenity'!E11*1000)/3.78541)</f>
        <v/>
      </c>
    </row>
    <row r="34">
      <c r="A34">
        <f>'Serenity'!A12</f>
        <v/>
      </c>
      <c r="B34" s="8">
        <f>'Serenity'!G12*IFS('Serenity'!F12="kg",'Serenity'!C12/1000,'Serenity'!F12="lbs",'Serenity'!C12/453.592,'Serenity'!F12="g",'Serenity'!C12,'Serenity'!F12="oz",'Serenity'!C12/28.3495,'Serenity'!F12="mL",'Serenity'!C12/'Serenity'!E12,'Serenity'!F12="L",'Serenity'!C12/('Serenity'!E12*1000),'Serenity'!F12="gal",'Serenity'!C12/('Serenity'!E12*1000)/3.78541)</f>
        <v/>
      </c>
    </row>
    <row r="35">
      <c r="A35">
        <f>'Serenity'!A13</f>
        <v/>
      </c>
      <c r="B35" s="8">
        <f>'Serenity'!G13*IFS('Serenity'!F13="kg",'Serenity'!C13/1000,'Serenity'!F13="lbs",'Serenity'!C13/453.592,'Serenity'!F13="g",'Serenity'!C13,'Serenity'!F13="oz",'Serenity'!C13/28.3495,'Serenity'!F13="mL",'Serenity'!C13/'Serenity'!E13,'Serenity'!F13="L",'Serenity'!C13/('Serenity'!E13*1000),'Serenity'!F13="gal",'Serenity'!C13/('Serenity'!E13*1000)/3.78541)</f>
        <v/>
      </c>
    </row>
    <row r="36">
      <c r="A36">
        <f>'Serenity'!A14</f>
        <v/>
      </c>
      <c r="B36" s="8">
        <f>'Serenity'!G14*IFS('Serenity'!F14="kg",'Serenity'!C14/1000,'Serenity'!F14="lbs",'Serenity'!C14/453.592,'Serenity'!F14="g",'Serenity'!C14,'Serenity'!F14="oz",'Serenity'!C14/28.3495,'Serenity'!F14="mL",'Serenity'!C14/'Serenity'!E14,'Serenity'!F14="L",'Serenity'!C14/('Serenity'!E14*1000),'Serenity'!F14="gal",'Serenity'!C14/('Serenity'!E14*1000)/3.78541)</f>
        <v/>
      </c>
    </row>
    <row r="37">
      <c r="A37">
        <f>'Serenity'!A15</f>
        <v/>
      </c>
      <c r="B37" s="8">
        <f>'Serenity'!G15*IFS('Serenity'!F15="kg",'Serenity'!C15/1000,'Serenity'!F15="lbs",'Serenity'!C15/453.592,'Serenity'!F15="g",'Serenity'!C15,'Serenity'!F15="oz",'Serenity'!C15/28.3495,'Serenity'!F15="mL",'Serenity'!C15/'Serenity'!E15,'Serenity'!F15="L",'Serenity'!C15/('Serenity'!E15*1000),'Serenity'!F15="gal",'Serenity'!C15/('Serenity'!E15*1000)/3.78541)</f>
        <v/>
      </c>
    </row>
    <row r="38">
      <c r="A38">
        <f>'Serenity'!A16</f>
        <v/>
      </c>
      <c r="B38" s="8">
        <f>'Serenity'!G16*IFS('Serenity'!F16="kg",'Serenity'!C16/1000,'Serenity'!F16="lbs",'Serenity'!C16/453.592,'Serenity'!F16="g",'Serenity'!C16,'Serenity'!F16="oz",'Serenity'!C16/28.3495,'Serenity'!F16="mL",'Serenity'!C16/'Serenity'!E16,'Serenity'!F16="L",'Serenity'!C16/('Serenity'!E16*1000),'Serenity'!F16="gal",'Serenity'!C16/('Serenity'!E16*1000)/3.78541)</f>
        <v/>
      </c>
    </row>
    <row r="39">
      <c r="A39" s="7" t="inlineStr">
        <is>
          <t>Subtotal / can</t>
        </is>
      </c>
      <c r="B39" s="9">
        <f>SUM(B24:B38)</f>
        <v/>
      </c>
    </row>
    <row r="40">
      <c r="A40" s="10" t="inlineStr">
        <is>
          <t>+ 5% production loss</t>
        </is>
      </c>
      <c r="B40" s="11">
        <f>B39*1.05</f>
        <v/>
      </c>
    </row>
    <row r="41">
      <c r="A41" s="7" t="inlineStr">
        <is>
          <t>Cost / 12-pack (with loss)</t>
        </is>
      </c>
      <c r="B41" s="12">
        <f>B40*12</f>
        <v/>
      </c>
    </row>
    <row r="43">
      <c r="A43" s="7" t="inlineStr">
        <is>
          <t>The Fountain</t>
        </is>
      </c>
      <c r="B43" s="7" t="inlineStr">
        <is>
          <t>Cost/can $</t>
        </is>
      </c>
    </row>
    <row r="44">
      <c r="A44">
        <f>'The Fountain'!A2</f>
        <v/>
      </c>
      <c r="B44" s="8">
        <f>'The Fountain'!G2*IFS('The Fountain'!F2="kg",'The Fountain'!C2/1000,'The Fountain'!F2="lbs",'The Fountain'!C2/453.592,'The Fountain'!F2="g",'The Fountain'!C2,'The Fountain'!F2="oz",'The Fountain'!C2/28.3495,'The Fountain'!F2="mL",'The Fountain'!C2/'The Fountain'!E2,'The Fountain'!F2="L",'The Fountain'!C2/('The Fountain'!E2*1000),'The Fountain'!F2="gal",'The Fountain'!C2/('The Fountain'!E2*1000)/3.78541)</f>
        <v/>
      </c>
    </row>
    <row r="45">
      <c r="A45">
        <f>'The Fountain'!A3</f>
        <v/>
      </c>
      <c r="B45" s="8">
        <f>'The Fountain'!G3*IFS('The Fountain'!F3="kg",'The Fountain'!C3/1000,'The Fountain'!F3="lbs",'The Fountain'!C3/453.592,'The Fountain'!F3="g",'The Fountain'!C3,'The Fountain'!F3="oz",'The Fountain'!C3/28.3495,'The Fountain'!F3="mL",'The Fountain'!C3/'The Fountain'!E3,'The Fountain'!F3="L",'The Fountain'!C3/('The Fountain'!E3*1000),'The Fountain'!F3="gal",'The Fountain'!C3/('The Fountain'!E3*1000)/3.78541)</f>
        <v/>
      </c>
    </row>
    <row r="46">
      <c r="A46">
        <f>'The Fountain'!A4</f>
        <v/>
      </c>
      <c r="B46" s="8">
        <f>'The Fountain'!G4*IFS('The Fountain'!F4="kg",'The Fountain'!C4/1000,'The Fountain'!F4="lbs",'The Fountain'!C4/453.592,'The Fountain'!F4="g",'The Fountain'!C4,'The Fountain'!F4="oz",'The Fountain'!C4/28.3495,'The Fountain'!F4="mL",'The Fountain'!C4/'The Fountain'!E4,'The Fountain'!F4="L",'The Fountain'!C4/('The Fountain'!E4*1000),'The Fountain'!F4="gal",'The Fountain'!C4/('The Fountain'!E4*1000)/3.78541)</f>
        <v/>
      </c>
    </row>
    <row r="47">
      <c r="A47">
        <f>'The Fountain'!A5</f>
        <v/>
      </c>
      <c r="B47" s="8">
        <f>'The Fountain'!G5*IFS('The Fountain'!F5="kg",'The Fountain'!C5/1000,'The Fountain'!F5="lbs",'The Fountain'!C5/453.592,'The Fountain'!F5="g",'The Fountain'!C5,'The Fountain'!F5="oz",'The Fountain'!C5/28.3495,'The Fountain'!F5="mL",'The Fountain'!C5/'The Fountain'!E5,'The Fountain'!F5="L",'The Fountain'!C5/('The Fountain'!E5*1000),'The Fountain'!F5="gal",'The Fountain'!C5/('The Fountain'!E5*1000)/3.78541)</f>
        <v/>
      </c>
    </row>
    <row r="48">
      <c r="A48">
        <f>'The Fountain'!A6</f>
        <v/>
      </c>
      <c r="B48" s="8">
        <f>'The Fountain'!G6*IFS('The Fountain'!F6="kg",'The Fountain'!C6/1000,'The Fountain'!F6="lbs",'The Fountain'!C6/453.592,'The Fountain'!F6="g",'The Fountain'!C6,'The Fountain'!F6="oz",'The Fountain'!C6/28.3495,'The Fountain'!F6="mL",'The Fountain'!C6/'The Fountain'!E6,'The Fountain'!F6="L",'The Fountain'!C6/('The Fountain'!E6*1000),'The Fountain'!F6="gal",'The Fountain'!C6/('The Fountain'!E6*1000)/3.78541)</f>
        <v/>
      </c>
    </row>
    <row r="49">
      <c r="A49">
        <f>'The Fountain'!A7</f>
        <v/>
      </c>
      <c r="B49" s="8">
        <f>'The Fountain'!G7*IFS('The Fountain'!F7="kg",'The Fountain'!C7/1000,'The Fountain'!F7="lbs",'The Fountain'!C7/453.592,'The Fountain'!F7="g",'The Fountain'!C7,'The Fountain'!F7="oz",'The Fountain'!C7/28.3495,'The Fountain'!F7="mL",'The Fountain'!C7/'The Fountain'!E7,'The Fountain'!F7="L",'The Fountain'!C7/('The Fountain'!E7*1000),'The Fountain'!F7="gal",'The Fountain'!C7/('The Fountain'!E7*1000)/3.78541)</f>
        <v/>
      </c>
    </row>
    <row r="50">
      <c r="A50">
        <f>'The Fountain'!A8</f>
        <v/>
      </c>
      <c r="B50" s="8">
        <f>'The Fountain'!G8*IFS('The Fountain'!F8="kg",'The Fountain'!C8/1000,'The Fountain'!F8="lbs",'The Fountain'!C8/453.592,'The Fountain'!F8="g",'The Fountain'!C8,'The Fountain'!F8="oz",'The Fountain'!C8/28.3495,'The Fountain'!F8="mL",'The Fountain'!C8/'The Fountain'!E8,'The Fountain'!F8="L",'The Fountain'!C8/('The Fountain'!E8*1000),'The Fountain'!F8="gal",'The Fountain'!C8/('The Fountain'!E8*1000)/3.78541)</f>
        <v/>
      </c>
    </row>
    <row r="51">
      <c r="A51">
        <f>'The Fountain'!A9</f>
        <v/>
      </c>
      <c r="B51" s="8">
        <f>'The Fountain'!G9*IFS('The Fountain'!F9="kg",'The Fountain'!C9/1000,'The Fountain'!F9="lbs",'The Fountain'!C9/453.592,'The Fountain'!F9="g",'The Fountain'!C9,'The Fountain'!F9="oz",'The Fountain'!C9/28.3495,'The Fountain'!F9="mL",'The Fountain'!C9/'The Fountain'!E9,'The Fountain'!F9="L",'The Fountain'!C9/('The Fountain'!E9*1000),'The Fountain'!F9="gal",'The Fountain'!C9/('The Fountain'!E9*1000)/3.78541)</f>
        <v/>
      </c>
    </row>
    <row r="52">
      <c r="A52">
        <f>'The Fountain'!A10</f>
        <v/>
      </c>
      <c r="B52" s="8">
        <f>'The Fountain'!G10*IFS('The Fountain'!F10="kg",'The Fountain'!C10/1000,'The Fountain'!F10="lbs",'The Fountain'!C10/453.592,'The Fountain'!F10="g",'The Fountain'!C10,'The Fountain'!F10="oz",'The Fountain'!C10/28.3495,'The Fountain'!F10="mL",'The Fountain'!C10/'The Fountain'!E10,'The Fountain'!F10="L",'The Fountain'!C10/('The Fountain'!E10*1000),'The Fountain'!F10="gal",'The Fountain'!C10/('The Fountain'!E10*1000)/3.78541)</f>
        <v/>
      </c>
    </row>
    <row r="53">
      <c r="A53">
        <f>'The Fountain'!A11</f>
        <v/>
      </c>
      <c r="B53" s="8">
        <f>'The Fountain'!G11*IFS('The Fountain'!F11="kg",'The Fountain'!C11/1000,'The Fountain'!F11="lbs",'The Fountain'!C11/453.592,'The Fountain'!F11="g",'The Fountain'!C11,'The Fountain'!F11="oz",'The Fountain'!C11/28.3495,'The Fountain'!F11="mL",'The Fountain'!C11/'The Fountain'!E11,'The Fountain'!F11="L",'The Fountain'!C11/('The Fountain'!E11*1000),'The Fountain'!F11="gal",'The Fountain'!C11/('The Fountain'!E11*1000)/3.78541)</f>
        <v/>
      </c>
    </row>
    <row r="54">
      <c r="A54">
        <f>'The Fountain'!A12</f>
        <v/>
      </c>
      <c r="B54" s="8">
        <f>'The Fountain'!G12*IFS('The Fountain'!F12="kg",'The Fountain'!C12/1000,'The Fountain'!F12="lbs",'The Fountain'!C12/453.592,'The Fountain'!F12="g",'The Fountain'!C12,'The Fountain'!F12="oz",'The Fountain'!C12/28.3495,'The Fountain'!F12="mL",'The Fountain'!C12/'The Fountain'!E12,'The Fountain'!F12="L",'The Fountain'!C12/('The Fountain'!E12*1000),'The Fountain'!F12="gal",'The Fountain'!C12/('The Fountain'!E12*1000)/3.78541)</f>
        <v/>
      </c>
    </row>
    <row r="55">
      <c r="A55">
        <f>'The Fountain'!A13</f>
        <v/>
      </c>
      <c r="B55" s="8">
        <f>'The Fountain'!G13*IFS('The Fountain'!F13="kg",'The Fountain'!C13/1000,'The Fountain'!F13="lbs",'The Fountain'!C13/453.592,'The Fountain'!F13="g",'The Fountain'!C13,'The Fountain'!F13="oz",'The Fountain'!C13/28.3495,'The Fountain'!F13="mL",'The Fountain'!C13/'The Fountain'!E13,'The Fountain'!F13="L",'The Fountain'!C13/('The Fountain'!E13*1000),'The Fountain'!F13="gal",'The Fountain'!C13/('The Fountain'!E13*1000)/3.78541)</f>
        <v/>
      </c>
    </row>
    <row r="56">
      <c r="A56">
        <f>'The Fountain'!A14</f>
        <v/>
      </c>
      <c r="B56" s="8">
        <f>'The Fountain'!G14*IFS('The Fountain'!F14="kg",'The Fountain'!C14/1000,'The Fountain'!F14="lbs",'The Fountain'!C14/453.592,'The Fountain'!F14="g",'The Fountain'!C14,'The Fountain'!F14="oz",'The Fountain'!C14/28.3495,'The Fountain'!F14="mL",'The Fountain'!C14/'The Fountain'!E14,'The Fountain'!F14="L",'The Fountain'!C14/('The Fountain'!E14*1000),'The Fountain'!F14="gal",'The Fountain'!C14/('The Fountain'!E14*1000)/3.78541)</f>
        <v/>
      </c>
    </row>
    <row r="57">
      <c r="A57">
        <f>'The Fountain'!A15</f>
        <v/>
      </c>
      <c r="B57" s="8">
        <f>'The Fountain'!G15*IFS('The Fountain'!F15="kg",'The Fountain'!C15/1000,'The Fountain'!F15="lbs",'The Fountain'!C15/453.592,'The Fountain'!F15="g",'The Fountain'!C15,'The Fountain'!F15="oz",'The Fountain'!C15/28.3495,'The Fountain'!F15="mL",'The Fountain'!C15/'The Fountain'!E15,'The Fountain'!F15="L",'The Fountain'!C15/('The Fountain'!E15*1000),'The Fountain'!F15="gal",'The Fountain'!C15/('The Fountain'!E15*1000)/3.78541)</f>
        <v/>
      </c>
    </row>
    <row r="58">
      <c r="A58" s="7" t="inlineStr">
        <is>
          <t>Subtotal / can</t>
        </is>
      </c>
      <c r="B58" s="9">
        <f>SUM(B44:B57)</f>
        <v/>
      </c>
    </row>
    <row r="59">
      <c r="A59" s="10" t="inlineStr">
        <is>
          <t>+ 5% production loss</t>
        </is>
      </c>
      <c r="B59" s="11">
        <f>B58*1.05</f>
        <v/>
      </c>
    </row>
    <row r="60">
      <c r="A60" s="7" t="inlineStr">
        <is>
          <t>Cost / 12-pack (with loss)</t>
        </is>
      </c>
      <c r="B60" s="12">
        <f>B59*12</f>
        <v/>
      </c>
    </row>
    <row r="62">
      <c r="A62" s="7" t="inlineStr">
        <is>
          <t>Defend</t>
        </is>
      </c>
      <c r="B62" s="7" t="inlineStr">
        <is>
          <t>Cost/can $</t>
        </is>
      </c>
    </row>
    <row r="63">
      <c r="A63">
        <f>'Defend'!A2</f>
        <v/>
      </c>
      <c r="B63" s="8">
        <f>'Defend'!G2*IFS('Defend'!F2="kg",'Defend'!C2/1000,'Defend'!F2="lbs",'Defend'!C2/453.592,'Defend'!F2="g",'Defend'!C2,'Defend'!F2="oz",'Defend'!C2/28.3495,'Defend'!F2="mL",'Defend'!C2/'Defend'!E2,'Defend'!F2="L",'Defend'!C2/('Defend'!E2*1000),'Defend'!F2="gal",'Defend'!C2/('Defend'!E2*1000)/3.78541)</f>
        <v/>
      </c>
    </row>
    <row r="64">
      <c r="A64">
        <f>'Defend'!A3</f>
        <v/>
      </c>
      <c r="B64" s="8">
        <f>'Defend'!G3*IFS('Defend'!F3="kg",'Defend'!C3/1000,'Defend'!F3="lbs",'Defend'!C3/453.592,'Defend'!F3="g",'Defend'!C3,'Defend'!F3="oz",'Defend'!C3/28.3495,'Defend'!F3="mL",'Defend'!C3/'Defend'!E3,'Defend'!F3="L",'Defend'!C3/('Defend'!E3*1000),'Defend'!F3="gal",'Defend'!C3/('Defend'!E3*1000)/3.78541)</f>
        <v/>
      </c>
    </row>
    <row r="65">
      <c r="A65">
        <f>'Defend'!A4</f>
        <v/>
      </c>
      <c r="B65" s="8">
        <f>'Defend'!G4*IFS('Defend'!F4="kg",'Defend'!C4/1000,'Defend'!F4="lbs",'Defend'!C4/453.592,'Defend'!F4="g",'Defend'!C4,'Defend'!F4="oz",'Defend'!C4/28.3495,'Defend'!F4="mL",'Defend'!C4/'Defend'!E4,'Defend'!F4="L",'Defend'!C4/('Defend'!E4*1000),'Defend'!F4="gal",'Defend'!C4/('Defend'!E4*1000)/3.78541)</f>
        <v/>
      </c>
    </row>
    <row r="66">
      <c r="A66">
        <f>'Defend'!A5</f>
        <v/>
      </c>
      <c r="B66" s="8">
        <f>'Defend'!G5*IFS('Defend'!F5="kg",'Defend'!C5/1000,'Defend'!F5="lbs",'Defend'!C5/453.592,'Defend'!F5="g",'Defend'!C5,'Defend'!F5="oz",'Defend'!C5/28.3495,'Defend'!F5="mL",'Defend'!C5/'Defend'!E5,'Defend'!F5="L",'Defend'!C5/('Defend'!E5*1000),'Defend'!F5="gal",'Defend'!C5/('Defend'!E5*1000)/3.78541)</f>
        <v/>
      </c>
    </row>
    <row r="67">
      <c r="A67">
        <f>'Defend'!A6</f>
        <v/>
      </c>
      <c r="B67" s="8">
        <f>'Defend'!G6*IFS('Defend'!F6="kg",'Defend'!C6/1000,'Defend'!F6="lbs",'Defend'!C6/453.592,'Defend'!F6="g",'Defend'!C6,'Defend'!F6="oz",'Defend'!C6/28.3495,'Defend'!F6="mL",'Defend'!C6/'Defend'!E6,'Defend'!F6="L",'Defend'!C6/('Defend'!E6*1000),'Defend'!F6="gal",'Defend'!C6/('Defend'!E6*1000)/3.78541)</f>
        <v/>
      </c>
    </row>
    <row r="68">
      <c r="A68">
        <f>'Defend'!A7</f>
        <v/>
      </c>
      <c r="B68" s="8">
        <f>'Defend'!G7*IFS('Defend'!F7="kg",'Defend'!C7/1000,'Defend'!F7="lbs",'Defend'!C7/453.592,'Defend'!F7="g",'Defend'!C7,'Defend'!F7="oz",'Defend'!C7/28.3495,'Defend'!F7="mL",'Defend'!C7/'Defend'!E7,'Defend'!F7="L",'Defend'!C7/('Defend'!E7*1000),'Defend'!F7="gal",'Defend'!C7/('Defend'!E7*1000)/3.78541)</f>
        <v/>
      </c>
    </row>
    <row r="69">
      <c r="A69">
        <f>'Defend'!A8</f>
        <v/>
      </c>
      <c r="B69" s="8">
        <f>'Defend'!G8*IFS('Defend'!F8="kg",'Defend'!C8/1000,'Defend'!F8="lbs",'Defend'!C8/453.592,'Defend'!F8="g",'Defend'!C8,'Defend'!F8="oz",'Defend'!C8/28.3495,'Defend'!F8="mL",'Defend'!C8/'Defend'!E8,'Defend'!F8="L",'Defend'!C8/('Defend'!E8*1000),'Defend'!F8="gal",'Defend'!C8/('Defend'!E8*1000)/3.78541)</f>
        <v/>
      </c>
    </row>
    <row r="70">
      <c r="A70">
        <f>'Defend'!A9</f>
        <v/>
      </c>
      <c r="B70" s="8">
        <f>'Defend'!G9*IFS('Defend'!F9="kg",'Defend'!C9/1000,'Defend'!F9="lbs",'Defend'!C9/453.592,'Defend'!F9="g",'Defend'!C9,'Defend'!F9="oz",'Defend'!C9/28.3495,'Defend'!F9="mL",'Defend'!C9/'Defend'!E9,'Defend'!F9="L",'Defend'!C9/('Defend'!E9*1000),'Defend'!F9="gal",'Defend'!C9/('Defend'!E9*1000)/3.78541)</f>
        <v/>
      </c>
    </row>
    <row r="71">
      <c r="A71">
        <f>'Defend'!A10</f>
        <v/>
      </c>
      <c r="B71" s="8">
        <f>'Defend'!G10*IFS('Defend'!F10="kg",'Defend'!C10/1000,'Defend'!F10="lbs",'Defend'!C10/453.592,'Defend'!F10="g",'Defend'!C10,'Defend'!F10="oz",'Defend'!C10/28.3495,'Defend'!F10="mL",'Defend'!C10/'Defend'!E10,'Defend'!F10="L",'Defend'!C10/('Defend'!E10*1000),'Defend'!F10="gal",'Defend'!C10/('Defend'!E10*1000)/3.78541)</f>
        <v/>
      </c>
    </row>
    <row r="72">
      <c r="A72">
        <f>'Defend'!A11</f>
        <v/>
      </c>
      <c r="B72" s="8">
        <f>'Defend'!G11*IFS('Defend'!F11="kg",'Defend'!C11/1000,'Defend'!F11="lbs",'Defend'!C11/453.592,'Defend'!F11="g",'Defend'!C11,'Defend'!F11="oz",'Defend'!C11/28.3495,'Defend'!F11="mL",'Defend'!C11/'Defend'!E11,'Defend'!F11="L",'Defend'!C11/('Defend'!E11*1000),'Defend'!F11="gal",'Defend'!C11/('Defend'!E11*1000)/3.78541)</f>
        <v/>
      </c>
    </row>
    <row r="73">
      <c r="A73">
        <f>'Defend'!A12</f>
        <v/>
      </c>
      <c r="B73" s="8">
        <f>'Defend'!G12*IFS('Defend'!F12="kg",'Defend'!C12/1000,'Defend'!F12="lbs",'Defend'!C12/453.592,'Defend'!F12="g",'Defend'!C12,'Defend'!F12="oz",'Defend'!C12/28.3495,'Defend'!F12="mL",'Defend'!C12/'Defend'!E12,'Defend'!F12="L",'Defend'!C12/('Defend'!E12*1000),'Defend'!F12="gal",'Defend'!C12/('Defend'!E12*1000)/3.78541)</f>
        <v/>
      </c>
    </row>
    <row r="74">
      <c r="A74">
        <f>'Defend'!A13</f>
        <v/>
      </c>
      <c r="B74" s="8">
        <f>'Defend'!G13*IFS('Defend'!F13="kg",'Defend'!C13/1000,'Defend'!F13="lbs",'Defend'!C13/453.592,'Defend'!F13="g",'Defend'!C13,'Defend'!F13="oz",'Defend'!C13/28.3495,'Defend'!F13="mL",'Defend'!C13/'Defend'!E13,'Defend'!F13="L",'Defend'!C13/('Defend'!E13*1000),'Defend'!F13="gal",'Defend'!C13/('Defend'!E13*1000)/3.78541)</f>
        <v/>
      </c>
    </row>
    <row r="75">
      <c r="A75">
        <f>'Defend'!A14</f>
        <v/>
      </c>
      <c r="B75" s="8">
        <f>'Defend'!G14*IFS('Defend'!F14="kg",'Defend'!C14/1000,'Defend'!F14="lbs",'Defend'!C14/453.592,'Defend'!F14="g",'Defend'!C14,'Defend'!F14="oz",'Defend'!C14/28.3495,'Defend'!F14="mL",'Defend'!C14/'Defend'!E14,'Defend'!F14="L",'Defend'!C14/('Defend'!E14*1000),'Defend'!F14="gal",'Defend'!C14/('Defend'!E14*1000)/3.78541)</f>
        <v/>
      </c>
    </row>
    <row r="76">
      <c r="A76">
        <f>'Defend'!A15</f>
        <v/>
      </c>
      <c r="B76" s="8">
        <f>'Defend'!G15*IFS('Defend'!F15="kg",'Defend'!C15/1000,'Defend'!F15="lbs",'Defend'!C15/453.592,'Defend'!F15="g",'Defend'!C15,'Defend'!F15="oz",'Defend'!C15/28.3495,'Defend'!F15="mL",'Defend'!C15/'Defend'!E15,'Defend'!F15="L",'Defend'!C15/('Defend'!E15*1000),'Defend'!F15="gal",'Defend'!C15/('Defend'!E15*1000)/3.78541)</f>
        <v/>
      </c>
    </row>
    <row r="77">
      <c r="A77">
        <f>'Defend'!A16</f>
        <v/>
      </c>
      <c r="B77" s="8">
        <f>'Defend'!G16*IFS('Defend'!F16="kg",'Defend'!C16/1000,'Defend'!F16="lbs",'Defend'!C16/453.592,'Defend'!F16="g",'Defend'!C16,'Defend'!F16="oz",'Defend'!C16/28.3495,'Defend'!F16="mL",'Defend'!C16/'Defend'!E16,'Defend'!F16="L",'Defend'!C16/('Defend'!E16*1000),'Defend'!F16="gal",'Defend'!C16/('Defend'!E16*1000)/3.78541)</f>
        <v/>
      </c>
    </row>
    <row r="78">
      <c r="A78" s="7" t="inlineStr">
        <is>
          <t>Subtotal / can</t>
        </is>
      </c>
      <c r="B78" s="9">
        <f>SUM(B63:B77)</f>
        <v/>
      </c>
    </row>
    <row r="79">
      <c r="A79" s="10" t="inlineStr">
        <is>
          <t>+ 5% production loss</t>
        </is>
      </c>
      <c r="B79" s="11">
        <f>B78*1.05</f>
        <v/>
      </c>
    </row>
    <row r="80">
      <c r="A80" s="7" t="inlineStr">
        <is>
          <t>Cost / 12-pack (with loss)</t>
        </is>
      </c>
      <c r="B80" s="12">
        <f>B79*12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70" customWidth="1" min="4" max="4"/>
  </cols>
  <sheetData>
    <row r="1">
      <c r="A1" s="5" t="inlineStr">
        <is>
          <t>Price sources &amp; notes</t>
        </is>
      </c>
    </row>
    <row r="3">
      <c r="A3" s="13" t="inlineStr">
        <is>
          <t>Ingredient / price key</t>
        </is>
      </c>
      <c r="B3" s="13" t="inlineStr">
        <is>
          <t>Price</t>
        </is>
      </c>
      <c r="C3" s="13" t="inlineStr">
        <is>
          <t>Buy unit</t>
        </is>
      </c>
      <c r="D3" s="13" t="inlineStr">
        <is>
          <t>Source (link)</t>
        </is>
      </c>
    </row>
    <row r="4">
      <c r="A4" t="inlineStr">
        <is>
          <t>Water</t>
        </is>
      </c>
      <c r="B4" t="inlineStr">
        <is>
          <t>$0.1</t>
        </is>
      </c>
      <c r="C4" t="inlineStr">
        <is>
          <t>/gal</t>
        </is>
      </c>
      <c r="D4" s="14" t="inlineStr">
        <is>
          <t>Internal: spec sheet (Drayhorse RO)</t>
        </is>
      </c>
    </row>
    <row r="5">
      <c r="A5" t="inlineStr">
        <is>
          <t>Vegetable Glycerin</t>
        </is>
      </c>
      <c r="B5" s="15" t="inlineStr">
        <is>
          <t>$2</t>
        </is>
      </c>
      <c r="C5" t="inlineStr">
        <is>
          <t>/lbs</t>
        </is>
      </c>
      <c r="D5" s="16" t="inlineStr">
        <is>
          <t>Bulk Apothecary / Jedwards USP (est.)</t>
        </is>
      </c>
    </row>
    <row r="6">
      <c r="A6" t="inlineStr">
        <is>
          <t>Potassium Benzoate</t>
        </is>
      </c>
      <c r="B6" t="inlineStr">
        <is>
          <t>$4.82</t>
        </is>
      </c>
      <c r="C6" t="inlineStr">
        <is>
          <t>/kg</t>
        </is>
      </c>
      <c r="D6" s="14" t="inlineStr">
        <is>
          <t>Internal: Katana avg cost</t>
        </is>
      </c>
    </row>
    <row r="7">
      <c r="A7" t="inlineStr">
        <is>
          <t>Potassium Sorbate</t>
        </is>
      </c>
      <c r="B7" t="inlineStr">
        <is>
          <t>$2.86</t>
        </is>
      </c>
      <c r="C7" t="inlineStr">
        <is>
          <t>/kg</t>
        </is>
      </c>
      <c r="D7" s="14" t="inlineStr">
        <is>
          <t>Internal: Katana avg cost</t>
        </is>
      </c>
    </row>
    <row r="8">
      <c r="A8" t="inlineStr">
        <is>
          <t>Grape Blue Shade</t>
        </is>
      </c>
      <c r="B8" s="15" t="inlineStr">
        <is>
          <t>$55</t>
        </is>
      </c>
      <c r="C8" t="inlineStr">
        <is>
          <t>/kg</t>
        </is>
      </c>
      <c r="D8" s="16" t="inlineStr">
        <is>
          <t>GNT EXBERRY natural color (est.)</t>
        </is>
      </c>
    </row>
    <row r="9">
      <c r="A9" t="inlineStr">
        <is>
          <t>Sodium Copper Chlorophyllin</t>
        </is>
      </c>
      <c r="B9" s="15" t="inlineStr">
        <is>
          <t>$60</t>
        </is>
      </c>
      <c r="C9" t="inlineStr">
        <is>
          <t>/kg</t>
        </is>
      </c>
      <c r="D9" s="16" t="inlineStr">
        <is>
          <t>Naturex / Nutri Avenue E141 (est.)</t>
        </is>
      </c>
    </row>
    <row r="10">
      <c r="A10" t="inlineStr">
        <is>
          <t>CBD Hydrobond</t>
        </is>
      </c>
      <c r="B10" s="15" t="inlineStr">
        <is>
          <t>$300</t>
        </is>
      </c>
      <c r="C10" t="inlineStr">
        <is>
          <t>/kg</t>
        </is>
      </c>
      <c r="D10" s="16" t="inlineStr">
        <is>
          <t>Hemp Depot water-soluble CBD (est.)</t>
        </is>
      </c>
    </row>
    <row r="11">
      <c r="A11" t="inlineStr">
        <is>
          <t>Bossen Lychee Syrup</t>
        </is>
      </c>
      <c r="B11" t="inlineStr">
        <is>
          <t>$15.45</t>
        </is>
      </c>
      <c r="C11" t="inlineStr">
        <is>
          <t>/lbs</t>
        </is>
      </c>
      <c r="D11" s="16" t="inlineStr">
        <is>
          <t>Boba Warehouse ($85 / 5.5 lb)</t>
        </is>
      </c>
    </row>
    <row r="12">
      <c r="A12" t="inlineStr">
        <is>
          <t>Talin PG95</t>
        </is>
      </c>
      <c r="B12" s="15" t="inlineStr">
        <is>
          <t>$200</t>
        </is>
      </c>
      <c r="C12" t="inlineStr">
        <is>
          <t>/kg</t>
        </is>
      </c>
      <c r="D12" s="16" t="inlineStr">
        <is>
          <t>Naturex/Givaudan Talin; bulk thaumatin (est.)</t>
        </is>
      </c>
    </row>
    <row r="13">
      <c r="A13" t="inlineStr">
        <is>
          <t>Crystalline Fructose</t>
        </is>
      </c>
      <c r="B13" s="15" t="inlineStr">
        <is>
          <t>$1.2</t>
        </is>
      </c>
      <c r="C13" t="inlineStr">
        <is>
          <t>/lbs</t>
        </is>
      </c>
      <c r="D13" s="16" t="inlineStr">
        <is>
          <t>Bakers Authority (ADM Cornsweet)</t>
        </is>
      </c>
    </row>
    <row r="14">
      <c r="A14" t="inlineStr">
        <is>
          <t>Citric Acid</t>
        </is>
      </c>
      <c r="B14" t="inlineStr">
        <is>
          <t>$1.52</t>
        </is>
      </c>
      <c r="C14" t="inlineStr">
        <is>
          <t>/lbs</t>
        </is>
      </c>
      <c r="D14" s="14" t="inlineStr">
        <is>
          <t>Internal: Complete Ingredients tab (Brenntag)</t>
        </is>
      </c>
    </row>
    <row r="15">
      <c r="A15" t="inlineStr">
        <is>
          <t>Natural Flavor</t>
        </is>
      </c>
      <c r="B15" t="inlineStr">
        <is>
          <t>$70</t>
        </is>
      </c>
      <c r="C15" t="inlineStr">
        <is>
          <t>/gal</t>
        </is>
      </c>
      <c r="D15" s="14" t="inlineStr">
        <is>
          <t>Client-directed: $70/gal</t>
        </is>
      </c>
    </row>
    <row r="16">
      <c r="A16" t="inlineStr">
        <is>
          <t>Chamomile Hydrosol</t>
        </is>
      </c>
      <c r="B16" s="15" t="inlineStr">
        <is>
          <t>$50</t>
        </is>
      </c>
      <c r="C16" t="inlineStr">
        <is>
          <t>/gal</t>
        </is>
      </c>
      <c r="D16" s="16" t="inlineStr">
        <is>
          <t>Food-grade organic hydrosol: Florihana (edible)/Shay/Organic Creations - quote pending ($40-90/gal)</t>
        </is>
      </c>
    </row>
    <row r="17">
      <c r="A17" t="inlineStr">
        <is>
          <t>Signature Beverage Enhancer</t>
        </is>
      </c>
      <c r="B17" s="15" t="inlineStr">
        <is>
          <t>$34</t>
        </is>
      </c>
      <c r="C17" t="inlineStr">
        <is>
          <t>/lbs</t>
        </is>
      </c>
      <c r="D17" s="14" t="inlineStr">
        <is>
          <t>Blue Pacific Flavors analog (est.)</t>
        </is>
      </c>
    </row>
    <row r="18">
      <c r="A18" t="inlineStr"/>
    </row>
    <row r="19">
      <c r="A19" s="7" t="inlineStr">
        <is>
          <t>NOTES</t>
        </is>
      </c>
    </row>
    <row r="20">
      <c r="A20" t="inlineStr">
        <is>
          <t>- Recipes are from the four "Spec - &lt;product&gt;" tabs in the source file (embedded images), NOT the Quoting tabs (which were unreliable).</t>
        </is>
      </c>
    </row>
    <row r="21">
      <c r="A21" t="inlineStr">
        <is>
          <t>- All products: 250 mL fill, 12 cans/pack. RECIPE AMT is grams; SG=1 and TYPE=Liquid per the input-grid format (set powders to Dry if needed).</t>
        </is>
      </c>
    </row>
    <row r="22">
      <c r="A22" t="inlineStr">
        <is>
          <t>- Green PRICE cells = researched estimates to confirm with a real quote/PO. Others are internal (Katana / Complete Ingredients tab) or client-directed.</t>
        </is>
      </c>
    </row>
    <row r="23">
      <c r="A23" t="inlineStr">
        <is>
          <t>- Chamomile hydrosol must be FOOD-GRADE (most aromatherapy hydrosols are cosmetic-only). $50/gal is a placeholder; organic German runs ~$40-90/gal.</t>
        </is>
      </c>
    </row>
    <row r="24">
      <c r="A24" t="inlineStr">
        <is>
          <t>- Natural flavors (Gold Coast / FONA) priced per client direction at $70/gal. Signature Beverage Enhancer kept at a separate $34/lb estimate.</t>
        </is>
      </c>
    </row>
    <row r="25">
      <c r="A25" t="inlineStr">
        <is>
          <t>- For exact chamomile volume (spec notes 19.04 mL/can), set its SG to ~0.88; at SG=1 it is costed off its 16.8 g mass.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8" r:id="rId2"/>
    <hyperlink xmlns:r="http://schemas.openxmlformats.org/officeDocument/2006/relationships" ref="D9" r:id="rId3"/>
    <hyperlink xmlns:r="http://schemas.openxmlformats.org/officeDocument/2006/relationships" ref="D10" r:id="rId4"/>
    <hyperlink xmlns:r="http://schemas.openxmlformats.org/officeDocument/2006/relationships" ref="D11" r:id="rId5"/>
    <hyperlink xmlns:r="http://schemas.openxmlformats.org/officeDocument/2006/relationships" ref="D12" r:id="rId6"/>
    <hyperlink xmlns:r="http://schemas.openxmlformats.org/officeDocument/2006/relationships" ref="D13" r:id="rId7"/>
    <hyperlink xmlns:r="http://schemas.openxmlformats.org/officeDocument/2006/relationships" ref="D16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2026-05-26T18:44:41Z</dcterms:created>
  <dcterms:modified xsi:type="dcterms:W3CDTF">2026-05-26T18:44:41Z</dcterms:modified>
</cp:coreProperties>
</file>